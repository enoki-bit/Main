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fileSharing readOnlyRecommended="1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ocuments\社内\教育関連\01.Data Base\work\"/>
    </mc:Choice>
  </mc:AlternateContent>
  <xr:revisionPtr revIDLastSave="0" documentId="13_ncr:1_{F78BBCAC-A065-41FC-83F7-B255A9E783C9}" xr6:coauthVersionLast="47" xr6:coauthVersionMax="47" xr10:uidLastSave="{00000000-0000-0000-0000-000000000000}"/>
  <bookViews>
    <workbookView xWindow="-120" yWindow="-120" windowWidth="29040" windowHeight="15720" tabRatio="933" xr2:uid="{00000000-000D-0000-FFFF-FFFF00000000}"/>
  </bookViews>
  <sheets>
    <sheet name="表紙" sheetId="1" r:id="rId1"/>
    <sheet name="テーブル一覧" sheetId="2" r:id="rId2"/>
    <sheet name="m_商品評価単価" sheetId="80" state="hidden" r:id="rId3"/>
    <sheet name="m_Maker" sheetId="146" r:id="rId4"/>
    <sheet name="m_会社" sheetId="53" r:id="rId5"/>
    <sheet name="m_社員" sheetId="135" r:id="rId6"/>
    <sheet name="m_所属部署" sheetId="139" r:id="rId7"/>
    <sheet name="m_商品" sheetId="145" r:id="rId8"/>
    <sheet name="m_商品分類" sheetId="147" r:id="rId9"/>
    <sheet name="m_性別" sheetId="141" r:id="rId10"/>
    <sheet name="m_得意先" sheetId="143" r:id="rId11"/>
    <sheet name="m_役職" sheetId="140" r:id="rId12"/>
    <sheet name="t_売上" sheetId="142" r:id="rId13"/>
    <sheet name="雛形" sheetId="138" r:id="rId14"/>
    <sheet name="マスタ" sheetId="54" state="hidden" r:id="rId15"/>
  </sheets>
  <functionGroups builtInGroupCount="19"/>
  <definedNames>
    <definedName name="_xlnm._FilterDatabase" localSheetId="1" hidden="1">テーブル一覧!$B$5:$J$5</definedName>
    <definedName name="_xlnm.Print_Area" localSheetId="2">m_商品評価単価!$A$1:$AY$54</definedName>
    <definedName name="_xlnm.Print_Area" localSheetId="1">テーブル一覧!$A$1:$J$27</definedName>
    <definedName name="_xlnm.Print_Area" localSheetId="14">マスタ!$A$1:$AL$11</definedName>
    <definedName name="_xlnm.Print_Area" localSheetId="0">表紙!$A$1:$AF$47</definedName>
    <definedName name="_xlnm.Print_Titles" localSheetId="3">m_Maker!$1:$11</definedName>
    <definedName name="_xlnm.Print_Titles" localSheetId="4">m_会社!$1:$11</definedName>
    <definedName name="_xlnm.Print_Titles" localSheetId="5">m_社員!$1:$11</definedName>
    <definedName name="_xlnm.Print_Titles" localSheetId="6">m_所属部署!$1:$11</definedName>
    <definedName name="_xlnm.Print_Titles" localSheetId="7">m_商品!$1:$11</definedName>
    <definedName name="_xlnm.Print_Titles" localSheetId="8">m_商品分類!$1:$11</definedName>
    <definedName name="_xlnm.Print_Titles" localSheetId="9">m_性別!$1:$11</definedName>
    <definedName name="_xlnm.Print_Titles" localSheetId="10">m_得意先!$1:$11</definedName>
    <definedName name="_xlnm.Print_Titles" localSheetId="11">m_役職!$1:$11</definedName>
    <definedName name="_xlnm.Print_Titles" localSheetId="12">t_売上!$1:$11</definedName>
    <definedName name="_xlnm.Print_Titles" localSheetId="13">雛形!$1:$11</definedName>
    <definedName name="_xlnm.Print_Titles" localSheetId="0">表紙!$1:$14</definedName>
    <definedName name="Z_450296EB_871F_4CF4_9810_E1086F54218B_.wvu.FilterData" localSheetId="1" hidden="1">テーブル一覧!$B$5:$J$5</definedName>
    <definedName name="Z_450296EB_871F_4CF4_9810_E1086F54218B_.wvu.PrintArea" localSheetId="1" hidden="1">テーブル一覧!$A$1:$J$27</definedName>
    <definedName name="Z_450296EB_871F_4CF4_9810_E1086F54218B_.wvu.PrintArea" localSheetId="14" hidden="1">マスタ!$A$1:$AL$11</definedName>
    <definedName name="Z_450296EB_871F_4CF4_9810_E1086F54218B_.wvu.PrintArea" localSheetId="0" hidden="1">表紙!$A$1:$AF$46</definedName>
    <definedName name="Z_450296EB_871F_4CF4_9810_E1086F54218B_.wvu.PrintTitles" localSheetId="3" hidden="1">m_Maker!$1:$11</definedName>
    <definedName name="Z_450296EB_871F_4CF4_9810_E1086F54218B_.wvu.PrintTitles" localSheetId="4" hidden="1">m_会社!$1:$11</definedName>
    <definedName name="Z_450296EB_871F_4CF4_9810_E1086F54218B_.wvu.PrintTitles" localSheetId="5" hidden="1">m_社員!$1:$11</definedName>
    <definedName name="Z_450296EB_871F_4CF4_9810_E1086F54218B_.wvu.PrintTitles" localSheetId="6" hidden="1">m_所属部署!$1:$11</definedName>
    <definedName name="Z_450296EB_871F_4CF4_9810_E1086F54218B_.wvu.PrintTitles" localSheetId="7" hidden="1">m_商品!$1:$11</definedName>
    <definedName name="Z_450296EB_871F_4CF4_9810_E1086F54218B_.wvu.PrintTitles" localSheetId="8" hidden="1">m_商品分類!$1:$11</definedName>
    <definedName name="Z_450296EB_871F_4CF4_9810_E1086F54218B_.wvu.PrintTitles" localSheetId="9" hidden="1">m_性別!$1:$11</definedName>
    <definedName name="Z_450296EB_871F_4CF4_9810_E1086F54218B_.wvu.PrintTitles" localSheetId="10" hidden="1">m_得意先!$1:$11</definedName>
    <definedName name="Z_450296EB_871F_4CF4_9810_E1086F54218B_.wvu.PrintTitles" localSheetId="11" hidden="1">m_役職!$1:$11</definedName>
    <definedName name="Z_450296EB_871F_4CF4_9810_E1086F54218B_.wvu.PrintTitles" localSheetId="12" hidden="1">t_売上!$1:$11</definedName>
    <definedName name="Z_450296EB_871F_4CF4_9810_E1086F54218B_.wvu.PrintTitles" localSheetId="13" hidden="1">雛形!$1:$11</definedName>
    <definedName name="Z_450296EB_871F_4CF4_9810_E1086F54218B_.wvu.PrintTitles" localSheetId="0" hidden="1">表紙!$1:$14</definedName>
    <definedName name="型候補">マスタ!$A$2:$A$11</definedName>
  </definedNames>
  <calcPr calcId="191029"/>
  <customWorkbookViews>
    <customWorkbookView name="yamaguchi - 個人用ビュー" guid="{450296EB-871F-4CF4-9810-E1086F54218B}" autoUpdate="1" mergeInterval="15" onlySync="1" personalView="1" maximized="1" xWindow="-8" yWindow="32" windowWidth="1936" windowHeight="1056" tabRatio="933" activeSheetId="2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54" i="147" l="1"/>
  <c r="A53" i="147"/>
  <c r="A52" i="147"/>
  <c r="A51" i="147"/>
  <c r="A50" i="147"/>
  <c r="A49" i="147"/>
  <c r="A48" i="147"/>
  <c r="A47" i="147"/>
  <c r="A46" i="147"/>
  <c r="A45" i="147"/>
  <c r="A44" i="147"/>
  <c r="A43" i="147"/>
  <c r="A42" i="147"/>
  <c r="A41" i="147"/>
  <c r="A40" i="147"/>
  <c r="A39" i="147"/>
  <c r="A38" i="147"/>
  <c r="A37" i="147"/>
  <c r="A36" i="147"/>
  <c r="A35" i="147"/>
  <c r="A34" i="147"/>
  <c r="A33" i="147"/>
  <c r="A32" i="147"/>
  <c r="A31" i="147"/>
  <c r="A30" i="147"/>
  <c r="A29" i="147"/>
  <c r="A28" i="147"/>
  <c r="A27" i="147"/>
  <c r="A26" i="147"/>
  <c r="A25" i="147"/>
  <c r="A24" i="147"/>
  <c r="A23" i="147"/>
  <c r="A22" i="147"/>
  <c r="A21" i="147"/>
  <c r="A20" i="147"/>
  <c r="A19" i="147"/>
  <c r="A18" i="147"/>
  <c r="A17" i="147"/>
  <c r="A16" i="147"/>
  <c r="A15" i="147"/>
  <c r="A14" i="147"/>
  <c r="A13" i="147"/>
  <c r="A12" i="147"/>
  <c r="AH8" i="147"/>
  <c r="AT3" i="147"/>
  <c r="AO3" i="147"/>
  <c r="L2" i="147"/>
  <c r="L1" i="147"/>
  <c r="A1" i="147"/>
  <c r="A54" i="146"/>
  <c r="A53" i="146"/>
  <c r="A52" i="146"/>
  <c r="A51" i="146"/>
  <c r="A50" i="146"/>
  <c r="A49" i="146"/>
  <c r="A48" i="146"/>
  <c r="A47" i="146"/>
  <c r="A46" i="146"/>
  <c r="A45" i="146"/>
  <c r="A44" i="146"/>
  <c r="A43" i="146"/>
  <c r="A42" i="146"/>
  <c r="A41" i="146"/>
  <c r="A40" i="146"/>
  <c r="A39" i="146"/>
  <c r="A38" i="146"/>
  <c r="A37" i="146"/>
  <c r="A36" i="146"/>
  <c r="A35" i="146"/>
  <c r="A34" i="146"/>
  <c r="A33" i="146"/>
  <c r="A32" i="146"/>
  <c r="A31" i="146"/>
  <c r="A30" i="146"/>
  <c r="A29" i="146"/>
  <c r="A28" i="146"/>
  <c r="A27" i="146"/>
  <c r="A26" i="146"/>
  <c r="A25" i="146"/>
  <c r="A24" i="146"/>
  <c r="A23" i="146"/>
  <c r="A22" i="146"/>
  <c r="A21" i="146"/>
  <c r="A20" i="146"/>
  <c r="A19" i="146"/>
  <c r="A18" i="146"/>
  <c r="A17" i="146"/>
  <c r="A16" i="146"/>
  <c r="A15" i="146"/>
  <c r="A14" i="146"/>
  <c r="A13" i="146"/>
  <c r="A12" i="146"/>
  <c r="AH8" i="146"/>
  <c r="AT3" i="146"/>
  <c r="AO3" i="146"/>
  <c r="L2" i="146"/>
  <c r="L1" i="146"/>
  <c r="A1" i="146"/>
  <c r="A54" i="145"/>
  <c r="A53" i="145"/>
  <c r="A52" i="145"/>
  <c r="A51" i="145"/>
  <c r="A50" i="145"/>
  <c r="A49" i="145"/>
  <c r="A48" i="145"/>
  <c r="A47" i="145"/>
  <c r="A46" i="145"/>
  <c r="A45" i="145"/>
  <c r="A44" i="145"/>
  <c r="A43" i="145"/>
  <c r="A42" i="145"/>
  <c r="A41" i="145"/>
  <c r="A40" i="145"/>
  <c r="A39" i="145"/>
  <c r="A38" i="145"/>
  <c r="A37" i="145"/>
  <c r="A36" i="145"/>
  <c r="A35" i="145"/>
  <c r="A34" i="145"/>
  <c r="A33" i="145"/>
  <c r="A32" i="145"/>
  <c r="A27" i="145"/>
  <c r="A25" i="145"/>
  <c r="A31" i="145"/>
  <c r="A30" i="145"/>
  <c r="A29" i="145"/>
  <c r="A28" i="145"/>
  <c r="A26" i="145"/>
  <c r="A24" i="145"/>
  <c r="A23" i="145"/>
  <c r="A22" i="145"/>
  <c r="A21" i="145"/>
  <c r="A20" i="145"/>
  <c r="A19" i="145"/>
  <c r="A18" i="145"/>
  <c r="A17" i="145"/>
  <c r="A16" i="145"/>
  <c r="A15" i="145"/>
  <c r="A14" i="145"/>
  <c r="A13" i="145"/>
  <c r="A12" i="145"/>
  <c r="AH8" i="145"/>
  <c r="AT3" i="145"/>
  <c r="AO3" i="145"/>
  <c r="L2" i="145"/>
  <c r="L1" i="145"/>
  <c r="A1" i="145"/>
  <c r="A54" i="143"/>
  <c r="A53" i="143"/>
  <c r="A52" i="143"/>
  <c r="A51" i="143"/>
  <c r="A50" i="143"/>
  <c r="A49" i="143"/>
  <c r="A48" i="143"/>
  <c r="A47" i="143"/>
  <c r="A46" i="143"/>
  <c r="A45" i="143"/>
  <c r="A44" i="143"/>
  <c r="A43" i="143"/>
  <c r="A42" i="143"/>
  <c r="A41" i="143"/>
  <c r="A40" i="143"/>
  <c r="A39" i="143"/>
  <c r="A38" i="143"/>
  <c r="A37" i="143"/>
  <c r="A36" i="143"/>
  <c r="A35" i="143"/>
  <c r="A34" i="143"/>
  <c r="A33" i="143"/>
  <c r="A32" i="143"/>
  <c r="A31" i="143"/>
  <c r="A30" i="143"/>
  <c r="A29" i="143"/>
  <c r="A28" i="143"/>
  <c r="A27" i="143"/>
  <c r="A26" i="143"/>
  <c r="A25" i="143"/>
  <c r="A24" i="143"/>
  <c r="A23" i="143"/>
  <c r="A22" i="143"/>
  <c r="A21" i="143"/>
  <c r="A20" i="143"/>
  <c r="A19" i="143"/>
  <c r="A18" i="143"/>
  <c r="A17" i="143"/>
  <c r="A16" i="143"/>
  <c r="A15" i="143"/>
  <c r="A14" i="143"/>
  <c r="A13" i="143"/>
  <c r="A12" i="143"/>
  <c r="AH8" i="143"/>
  <c r="AT3" i="143"/>
  <c r="AO3" i="143"/>
  <c r="L2" i="143"/>
  <c r="L1" i="143"/>
  <c r="A1" i="143"/>
  <c r="A54" i="142"/>
  <c r="A53" i="142"/>
  <c r="A52" i="142"/>
  <c r="A51" i="142"/>
  <c r="A50" i="142"/>
  <c r="A49" i="142"/>
  <c r="A48" i="142"/>
  <c r="A47" i="142"/>
  <c r="A46" i="142"/>
  <c r="A45" i="142"/>
  <c r="A44" i="142"/>
  <c r="A43" i="142"/>
  <c r="A42" i="142"/>
  <c r="A41" i="142"/>
  <c r="A40" i="142"/>
  <c r="A39" i="142"/>
  <c r="A38" i="142"/>
  <c r="A37" i="142"/>
  <c r="A36" i="142"/>
  <c r="A35" i="142"/>
  <c r="A34" i="142"/>
  <c r="A33" i="142"/>
  <c r="A32" i="142"/>
  <c r="A31" i="142"/>
  <c r="A30" i="142"/>
  <c r="A29" i="142"/>
  <c r="A28" i="142"/>
  <c r="A27" i="142"/>
  <c r="A26" i="142"/>
  <c r="A25" i="142"/>
  <c r="A24" i="142"/>
  <c r="A23" i="142"/>
  <c r="A22" i="142"/>
  <c r="A21" i="142"/>
  <c r="A20" i="142"/>
  <c r="A19" i="142"/>
  <c r="A18" i="142"/>
  <c r="A17" i="142"/>
  <c r="A16" i="142"/>
  <c r="A15" i="142"/>
  <c r="A14" i="142"/>
  <c r="A13" i="142"/>
  <c r="A12" i="142"/>
  <c r="AH8" i="142"/>
  <c r="AT3" i="142"/>
  <c r="AO3" i="142"/>
  <c r="L2" i="142"/>
  <c r="L1" i="142"/>
  <c r="A1" i="142"/>
  <c r="A54" i="141"/>
  <c r="A53" i="141"/>
  <c r="A52" i="141"/>
  <c r="A51" i="141"/>
  <c r="A50" i="141"/>
  <c r="A49" i="141"/>
  <c r="A48" i="141"/>
  <c r="A47" i="141"/>
  <c r="A46" i="141"/>
  <c r="A45" i="141"/>
  <c r="A44" i="141"/>
  <c r="A43" i="141"/>
  <c r="A42" i="141"/>
  <c r="A41" i="141"/>
  <c r="A40" i="141"/>
  <c r="A39" i="141"/>
  <c r="A38" i="141"/>
  <c r="A37" i="141"/>
  <c r="A36" i="141"/>
  <c r="A35" i="141"/>
  <c r="A34" i="141"/>
  <c r="A33" i="141"/>
  <c r="A32" i="141"/>
  <c r="A31" i="141"/>
  <c r="A30" i="141"/>
  <c r="A29" i="141"/>
  <c r="A28" i="141"/>
  <c r="A27" i="141"/>
  <c r="A26" i="141"/>
  <c r="A25" i="141"/>
  <c r="A24" i="141"/>
  <c r="A23" i="141"/>
  <c r="A22" i="141"/>
  <c r="A21" i="141"/>
  <c r="A20" i="141"/>
  <c r="A19" i="141"/>
  <c r="A18" i="141"/>
  <c r="A17" i="141"/>
  <c r="A16" i="141"/>
  <c r="A15" i="141"/>
  <c r="A14" i="141"/>
  <c r="A13" i="141"/>
  <c r="A12" i="141"/>
  <c r="AH8" i="141"/>
  <c r="AT3" i="141"/>
  <c r="AO3" i="141"/>
  <c r="L2" i="141"/>
  <c r="L1" i="141"/>
  <c r="A1" i="141"/>
  <c r="A54" i="140"/>
  <c r="A53" i="140"/>
  <c r="A52" i="140"/>
  <c r="A51" i="140"/>
  <c r="A50" i="140"/>
  <c r="A49" i="140"/>
  <c r="A48" i="140"/>
  <c r="A47" i="140"/>
  <c r="A46" i="140"/>
  <c r="A45" i="140"/>
  <c r="A44" i="140"/>
  <c r="A43" i="140"/>
  <c r="A42" i="140"/>
  <c r="A41" i="140"/>
  <c r="A40" i="140"/>
  <c r="A39" i="140"/>
  <c r="A38" i="140"/>
  <c r="A37" i="140"/>
  <c r="A36" i="140"/>
  <c r="A35" i="140"/>
  <c r="A34" i="140"/>
  <c r="A33" i="140"/>
  <c r="A32" i="140"/>
  <c r="A31" i="140"/>
  <c r="A30" i="140"/>
  <c r="A29" i="140"/>
  <c r="A28" i="140"/>
  <c r="A27" i="140"/>
  <c r="A26" i="140"/>
  <c r="A25" i="140"/>
  <c r="A24" i="140"/>
  <c r="A23" i="140"/>
  <c r="A22" i="140"/>
  <c r="A21" i="140"/>
  <c r="A20" i="140"/>
  <c r="A19" i="140"/>
  <c r="A18" i="140"/>
  <c r="A17" i="140"/>
  <c r="A16" i="140"/>
  <c r="A15" i="140"/>
  <c r="A14" i="140"/>
  <c r="A13" i="140"/>
  <c r="A12" i="140"/>
  <c r="AH8" i="140"/>
  <c r="AT3" i="140"/>
  <c r="AO3" i="140"/>
  <c r="L2" i="140"/>
  <c r="L1" i="140"/>
  <c r="A1" i="140"/>
  <c r="A54" i="139"/>
  <c r="A53" i="139"/>
  <c r="A52" i="139"/>
  <c r="A51" i="139"/>
  <c r="A50" i="139"/>
  <c r="A49" i="139"/>
  <c r="A48" i="139"/>
  <c r="A47" i="139"/>
  <c r="A46" i="139"/>
  <c r="A45" i="139"/>
  <c r="A44" i="139"/>
  <c r="A43" i="139"/>
  <c r="A42" i="139"/>
  <c r="A41" i="139"/>
  <c r="A40" i="139"/>
  <c r="A39" i="139"/>
  <c r="A38" i="139"/>
  <c r="A37" i="139"/>
  <c r="A36" i="139"/>
  <c r="A35" i="139"/>
  <c r="A34" i="139"/>
  <c r="A33" i="139"/>
  <c r="A32" i="139"/>
  <c r="A31" i="139"/>
  <c r="A30" i="139"/>
  <c r="A29" i="139"/>
  <c r="A28" i="139"/>
  <c r="A27" i="139"/>
  <c r="A26" i="139"/>
  <c r="A25" i="139"/>
  <c r="A24" i="139"/>
  <c r="A23" i="139"/>
  <c r="A22" i="139"/>
  <c r="A21" i="139"/>
  <c r="A20" i="139"/>
  <c r="A19" i="139"/>
  <c r="A18" i="139"/>
  <c r="A17" i="139"/>
  <c r="A16" i="139"/>
  <c r="A15" i="139"/>
  <c r="A14" i="139"/>
  <c r="A13" i="139"/>
  <c r="A12" i="139"/>
  <c r="AH8" i="139"/>
  <c r="AT3" i="139"/>
  <c r="AO3" i="139"/>
  <c r="L2" i="139"/>
  <c r="L1" i="139"/>
  <c r="A1" i="139"/>
  <c r="A54" i="138"/>
  <c r="A53" i="138"/>
  <c r="A52" i="138"/>
  <c r="A51" i="138"/>
  <c r="A50" i="138"/>
  <c r="A49" i="138"/>
  <c r="A48" i="138"/>
  <c r="A47" i="138"/>
  <c r="A46" i="138"/>
  <c r="A45" i="138"/>
  <c r="A44" i="138"/>
  <c r="A43" i="138"/>
  <c r="A42" i="138"/>
  <c r="A41" i="138"/>
  <c r="A40" i="138"/>
  <c r="A39" i="138"/>
  <c r="A38" i="138"/>
  <c r="A37" i="138"/>
  <c r="A36" i="138"/>
  <c r="A35" i="138"/>
  <c r="A34" i="138"/>
  <c r="A33" i="138"/>
  <c r="A32" i="138"/>
  <c r="A31" i="138"/>
  <c r="A30" i="138"/>
  <c r="A29" i="138"/>
  <c r="A28" i="138"/>
  <c r="A27" i="138"/>
  <c r="A26" i="138"/>
  <c r="A25" i="138"/>
  <c r="A24" i="138"/>
  <c r="A23" i="138"/>
  <c r="A22" i="138"/>
  <c r="A21" i="138"/>
  <c r="A20" i="138"/>
  <c r="A19" i="138"/>
  <c r="A18" i="138"/>
  <c r="A17" i="138"/>
  <c r="A16" i="138"/>
  <c r="A15" i="138"/>
  <c r="A14" i="138"/>
  <c r="A13" i="138"/>
  <c r="A12" i="138"/>
  <c r="AH8" i="138"/>
  <c r="AT3" i="138"/>
  <c r="AO3" i="138"/>
  <c r="L2" i="138"/>
  <c r="L1" i="138"/>
  <c r="A1" i="138"/>
  <c r="A54" i="135"/>
  <c r="A53" i="135"/>
  <c r="A52" i="135"/>
  <c r="A51" i="135"/>
  <c r="A50" i="135"/>
  <c r="A49" i="135"/>
  <c r="A48" i="135"/>
  <c r="A47" i="135"/>
  <c r="A46" i="135"/>
  <c r="A45" i="135"/>
  <c r="A44" i="135"/>
  <c r="A43" i="135"/>
  <c r="A42" i="135"/>
  <c r="A41" i="135"/>
  <c r="A40" i="135"/>
  <c r="A39" i="135"/>
  <c r="A38" i="135"/>
  <c r="A37" i="135"/>
  <c r="A36" i="135"/>
  <c r="A35" i="135"/>
  <c r="A34" i="135"/>
  <c r="A33" i="135"/>
  <c r="A32" i="135"/>
  <c r="A31" i="135"/>
  <c r="A30" i="135"/>
  <c r="A29" i="135"/>
  <c r="A27" i="135"/>
  <c r="A28" i="135"/>
  <c r="A26" i="135"/>
  <c r="A25" i="135"/>
  <c r="A24" i="135"/>
  <c r="A23" i="135"/>
  <c r="A22" i="135"/>
  <c r="A21" i="135"/>
  <c r="A20" i="135"/>
  <c r="A19" i="135"/>
  <c r="A18" i="135"/>
  <c r="A17" i="135"/>
  <c r="A16" i="135"/>
  <c r="A15" i="135"/>
  <c r="A14" i="135"/>
  <c r="A13" i="135"/>
  <c r="A12" i="135"/>
  <c r="AH8" i="135"/>
  <c r="AT3" i="135"/>
  <c r="AO3" i="135"/>
  <c r="L2" i="135"/>
  <c r="L1" i="135"/>
  <c r="A1" i="135"/>
  <c r="A54" i="80" l="1"/>
  <c r="A53" i="80"/>
  <c r="A52" i="80"/>
  <c r="A51" i="80"/>
  <c r="A50" i="80"/>
  <c r="A49" i="80"/>
  <c r="A48" i="80"/>
  <c r="A47" i="80"/>
  <c r="A46" i="80"/>
  <c r="A45" i="80"/>
  <c r="A44" i="80"/>
  <c r="A43" i="80"/>
  <c r="A42" i="80"/>
  <c r="A41" i="80"/>
  <c r="A40" i="80"/>
  <c r="A39" i="80"/>
  <c r="A38" i="80"/>
  <c r="A37" i="80"/>
  <c r="A36" i="80"/>
  <c r="A35" i="80"/>
  <c r="A34" i="80"/>
  <c r="A33" i="80"/>
  <c r="A32" i="80"/>
  <c r="A31" i="80"/>
  <c r="A30" i="80"/>
  <c r="A29" i="80"/>
  <c r="A28" i="80"/>
  <c r="A27" i="80"/>
  <c r="A26" i="80"/>
  <c r="A25" i="80"/>
  <c r="A24" i="80"/>
  <c r="A23" i="80"/>
  <c r="A22" i="80"/>
  <c r="A21" i="80"/>
  <c r="A20" i="80"/>
  <c r="A19" i="80"/>
  <c r="A18" i="80"/>
  <c r="A17" i="80"/>
  <c r="A16" i="80"/>
  <c r="A15" i="80"/>
  <c r="A14" i="80"/>
  <c r="A13" i="80"/>
  <c r="A12" i="80"/>
  <c r="AH8" i="80"/>
  <c r="A1" i="80"/>
  <c r="AT3" i="53" l="1"/>
  <c r="AO3" i="53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AH8" i="53"/>
  <c r="A54" i="53"/>
  <c r="A53" i="53"/>
  <c r="A52" i="53"/>
  <c r="A51" i="53"/>
  <c r="A50" i="53"/>
  <c r="A49" i="53"/>
  <c r="A48" i="53"/>
  <c r="A47" i="53"/>
  <c r="A46" i="53"/>
  <c r="A45" i="53"/>
  <c r="A44" i="53"/>
  <c r="A43" i="53"/>
  <c r="A42" i="53"/>
  <c r="A41" i="53"/>
  <c r="A40" i="53"/>
  <c r="A39" i="53"/>
  <c r="A38" i="53"/>
  <c r="A37" i="53"/>
  <c r="A36" i="53"/>
  <c r="A35" i="53"/>
  <c r="A34" i="53"/>
  <c r="A33" i="53"/>
  <c r="A32" i="53"/>
  <c r="A31" i="53"/>
  <c r="A30" i="53"/>
  <c r="A29" i="53"/>
  <c r="A28" i="53"/>
  <c r="A27" i="53"/>
  <c r="A26" i="53"/>
  <c r="A25" i="53"/>
  <c r="A24" i="53"/>
  <c r="A23" i="53"/>
  <c r="A22" i="53"/>
  <c r="A21" i="53"/>
  <c r="A20" i="53"/>
  <c r="A19" i="53"/>
  <c r="A18" i="53"/>
  <c r="A17" i="53"/>
  <c r="A16" i="53"/>
  <c r="A15" i="53"/>
  <c r="A14" i="53"/>
  <c r="A13" i="53"/>
  <c r="A12" i="53"/>
  <c r="L2" i="53"/>
  <c r="L1" i="53"/>
  <c r="A1" i="53"/>
</calcChain>
</file>

<file path=xl/sharedStrings.xml><?xml version="1.0" encoding="utf-8"?>
<sst xmlns="http://schemas.openxmlformats.org/spreadsheetml/2006/main" count="1297" uniqueCount="211">
  <si>
    <t>ドキュメント名</t>
    <rPh sb="6" eb="7">
      <t>メイ</t>
    </rPh>
    <phoneticPr fontId="1"/>
  </si>
  <si>
    <t>書誌情報</t>
    <rPh sb="0" eb="2">
      <t>ショシ</t>
    </rPh>
    <rPh sb="2" eb="4">
      <t>ジョウホウ</t>
    </rPh>
    <phoneticPr fontId="1"/>
  </si>
  <si>
    <t>1.0.0</t>
    <phoneticPr fontId="18"/>
  </si>
  <si>
    <t>担当者など</t>
    <rPh sb="0" eb="3">
      <t>タントウシャ</t>
    </rPh>
    <phoneticPr fontId="6"/>
  </si>
  <si>
    <t>コンパイル</t>
    <phoneticPr fontId="6"/>
  </si>
  <si>
    <t>データベース設計</t>
    <rPh sb="6" eb="8">
      <t>セッケイ</t>
    </rPh>
    <phoneticPr fontId="1"/>
  </si>
  <si>
    <t>型候補</t>
    <rPh sb="0" eb="1">
      <t>カタ</t>
    </rPh>
    <rPh sb="1" eb="3">
      <t>コウホ</t>
    </rPh>
    <phoneticPr fontId="1"/>
  </si>
  <si>
    <t>Decimal</t>
    <phoneticPr fontId="1"/>
  </si>
  <si>
    <t>Varchar</t>
    <phoneticPr fontId="1"/>
  </si>
  <si>
    <t>DateTime</t>
    <phoneticPr fontId="1"/>
  </si>
  <si>
    <t>概要</t>
    <rPh sb="0" eb="2">
      <t>ガイヨウ</t>
    </rPh>
    <phoneticPr fontId="1"/>
  </si>
  <si>
    <t>データベース名</t>
    <rPh sb="6" eb="7">
      <t>メイ</t>
    </rPh>
    <phoneticPr fontId="1"/>
  </si>
  <si>
    <t>テーブル名</t>
    <rPh sb="4" eb="5">
      <t>メイ</t>
    </rPh>
    <phoneticPr fontId="1"/>
  </si>
  <si>
    <t>Database ID</t>
    <phoneticPr fontId="1"/>
  </si>
  <si>
    <t>RDBMS</t>
    <phoneticPr fontId="1"/>
  </si>
  <si>
    <t>SEQ</t>
    <phoneticPr fontId="1"/>
  </si>
  <si>
    <t>データ型</t>
    <rPh sb="3" eb="4">
      <t>ガタ</t>
    </rPh>
    <phoneticPr fontId="1"/>
  </si>
  <si>
    <t>フィールド名</t>
    <rPh sb="5" eb="6">
      <t>メイ</t>
    </rPh>
    <phoneticPr fontId="1"/>
  </si>
  <si>
    <t>フィールドID</t>
    <phoneticPr fontId="1"/>
  </si>
  <si>
    <t>①</t>
    <phoneticPr fontId="1"/>
  </si>
  <si>
    <t>②</t>
    <phoneticPr fontId="1"/>
  </si>
  <si>
    <t>③</t>
    <phoneticPr fontId="1"/>
  </si>
  <si>
    <t>④</t>
    <phoneticPr fontId="1"/>
  </si>
  <si>
    <t>⑤</t>
    <phoneticPr fontId="1"/>
  </si>
  <si>
    <t>KEY</t>
    <phoneticPr fontId="1"/>
  </si>
  <si>
    <t>Pry</t>
    <phoneticPr fontId="1"/>
  </si>
  <si>
    <t>INDEX</t>
    <phoneticPr fontId="1"/>
  </si>
  <si>
    <t>FK</t>
    <phoneticPr fontId="1"/>
  </si>
  <si>
    <t>桁数</t>
    <rPh sb="0" eb="2">
      <t>ケタスウ</t>
    </rPh>
    <phoneticPr fontId="1"/>
  </si>
  <si>
    <t>ｻｲｽﾞ</t>
    <phoneticPr fontId="1"/>
  </si>
  <si>
    <t>NOT
NULL</t>
    <phoneticPr fontId="1"/>
  </si>
  <si>
    <t>初期値</t>
    <rPh sb="0" eb="2">
      <t>ショキ</t>
    </rPh>
    <rPh sb="2" eb="3">
      <t>チ</t>
    </rPh>
    <phoneticPr fontId="1"/>
  </si>
  <si>
    <t>備考</t>
    <rPh sb="0" eb="2">
      <t>ビコウ</t>
    </rPh>
    <phoneticPr fontId="1"/>
  </si>
  <si>
    <t>テーブルID</t>
    <phoneticPr fontId="1"/>
  </si>
  <si>
    <t>登録日時</t>
    <phoneticPr fontId="1"/>
  </si>
  <si>
    <t>登録者</t>
    <phoneticPr fontId="1"/>
  </si>
  <si>
    <t>更新日時</t>
    <phoneticPr fontId="1"/>
  </si>
  <si>
    <t>更新者</t>
    <phoneticPr fontId="1"/>
  </si>
  <si>
    <t>削除FLG</t>
    <rPh sb="0" eb="2">
      <t>サクジョ</t>
    </rPh>
    <phoneticPr fontId="1"/>
  </si>
  <si>
    <t>削除FLG</t>
    <phoneticPr fontId="1"/>
  </si>
  <si>
    <t>Varchar</t>
  </si>
  <si>
    <t>DateTime</t>
  </si>
  <si>
    <t>Decimal</t>
  </si>
  <si>
    <t>-</t>
    <phoneticPr fontId="1"/>
  </si>
  <si>
    <t>0:有効 1:削除</t>
    <rPh sb="2" eb="4">
      <t>ユウコウ</t>
    </rPh>
    <rPh sb="7" eb="9">
      <t>サクジョ</t>
    </rPh>
    <phoneticPr fontId="1"/>
  </si>
  <si>
    <t>テーブル名</t>
    <rPh sb="4" eb="5">
      <t>メイ</t>
    </rPh>
    <phoneticPr fontId="6"/>
  </si>
  <si>
    <t>備考</t>
    <rPh sb="0" eb="2">
      <t>ビコウ</t>
    </rPh>
    <phoneticPr fontId="6"/>
  </si>
  <si>
    <t>NO</t>
    <phoneticPr fontId="6"/>
  </si>
  <si>
    <t>テーブルID</t>
    <phoneticPr fontId="6"/>
  </si>
  <si>
    <t>作成会社</t>
    <rPh sb="0" eb="2">
      <t>サクセイ</t>
    </rPh>
    <rPh sb="2" eb="4">
      <t>カイシャ</t>
    </rPh>
    <phoneticPr fontId="1"/>
  </si>
  <si>
    <t>担当者</t>
    <rPh sb="0" eb="3">
      <t>タントウシャ</t>
    </rPh>
    <phoneticPr fontId="1"/>
  </si>
  <si>
    <t>更新履歴</t>
    <rPh sb="0" eb="2">
      <t>コウシン</t>
    </rPh>
    <rPh sb="2" eb="4">
      <t>リレキ</t>
    </rPh>
    <phoneticPr fontId="1"/>
  </si>
  <si>
    <t>バージョン</t>
    <phoneticPr fontId="1"/>
  </si>
  <si>
    <t>作成･更新日</t>
    <rPh sb="0" eb="2">
      <t>サクセイ</t>
    </rPh>
    <rPh sb="3" eb="6">
      <t>コウシンビ</t>
    </rPh>
    <phoneticPr fontId="1"/>
  </si>
  <si>
    <t>改版理由・箇所</t>
    <rPh sb="0" eb="2">
      <t>カイハン</t>
    </rPh>
    <rPh sb="2" eb="4">
      <t>リユウ</t>
    </rPh>
    <rPh sb="5" eb="7">
      <t>カショ</t>
    </rPh>
    <phoneticPr fontId="1"/>
  </si>
  <si>
    <t>担当</t>
    <rPh sb="0" eb="2">
      <t>タントウ</t>
    </rPh>
    <phoneticPr fontId="1"/>
  </si>
  <si>
    <t>お客様名</t>
    <rPh sb="1" eb="3">
      <t>キャクサマ</t>
    </rPh>
    <rPh sb="3" eb="4">
      <t>メイ</t>
    </rPh>
    <phoneticPr fontId="8"/>
  </si>
  <si>
    <t>システム名称</t>
    <rPh sb="4" eb="6">
      <t>メイショウ</t>
    </rPh>
    <phoneticPr fontId="1"/>
  </si>
  <si>
    <r>
      <t xml:space="preserve">(※バージョン管理 </t>
    </r>
    <r>
      <rPr>
        <b/>
        <u/>
        <sz val="10"/>
        <rFont val="ＭＳ ゴシック"/>
        <family val="3"/>
        <charset val="128"/>
      </rPr>
      <t>X.Y.Z</t>
    </r>
    <r>
      <rPr>
        <sz val="10"/>
        <rFont val="ＭＳ ゴシック"/>
        <family val="3"/>
        <charset val="128"/>
      </rPr>
      <t>：■X=システム改正数　■Y=テーブル統廃合(追加・削除)回数　■Z=項目統廃合(追加・削除・型桁変更)</t>
    </r>
    <rPh sb="7" eb="9">
      <t>カンリ</t>
    </rPh>
    <rPh sb="23" eb="25">
      <t>カイセイ</t>
    </rPh>
    <rPh sb="25" eb="26">
      <t>スウ</t>
    </rPh>
    <rPh sb="34" eb="37">
      <t>トウハイゴウ</t>
    </rPh>
    <rPh sb="38" eb="40">
      <t>ツイカ</t>
    </rPh>
    <rPh sb="41" eb="43">
      <t>サクジョ</t>
    </rPh>
    <rPh sb="44" eb="46">
      <t>カイスウ</t>
    </rPh>
    <rPh sb="50" eb="52">
      <t>コウモク</t>
    </rPh>
    <rPh sb="52" eb="55">
      <t>トウハイゴウ</t>
    </rPh>
    <rPh sb="56" eb="58">
      <t>ツイカ</t>
    </rPh>
    <rPh sb="59" eb="61">
      <t>サクジョ</t>
    </rPh>
    <rPh sb="62" eb="63">
      <t>カタ</t>
    </rPh>
    <rPh sb="63" eb="64">
      <t>ケタ</t>
    </rPh>
    <rPh sb="64" eb="66">
      <t>ヘンコウ</t>
    </rPh>
    <phoneticPr fontId="8"/>
  </si>
  <si>
    <t>プロジェクト名</t>
    <rPh sb="6" eb="7">
      <t>メイ</t>
    </rPh>
    <phoneticPr fontId="1"/>
  </si>
  <si>
    <t>処理</t>
    <rPh sb="0" eb="2">
      <t>ショリ</t>
    </rPh>
    <phoneticPr fontId="1"/>
  </si>
  <si>
    <t>版</t>
    <rPh sb="0" eb="1">
      <t>ハン</t>
    </rPh>
    <phoneticPr fontId="1"/>
  </si>
  <si>
    <t>日付</t>
    <rPh sb="0" eb="2">
      <t>ヒヅケ</t>
    </rPh>
    <phoneticPr fontId="1"/>
  </si>
  <si>
    <t>工程</t>
    <rPh sb="0" eb="2">
      <t>コウテイ</t>
    </rPh>
    <phoneticPr fontId="1"/>
  </si>
  <si>
    <t>システム名</t>
    <rPh sb="4" eb="5">
      <t>メイ</t>
    </rPh>
    <phoneticPr fontId="1"/>
  </si>
  <si>
    <t>作成</t>
    <rPh sb="0" eb="2">
      <t>サクセイ</t>
    </rPh>
    <phoneticPr fontId="1"/>
  </si>
  <si>
    <t>工程名</t>
    <rPh sb="0" eb="2">
      <t>コウテイ</t>
    </rPh>
    <rPh sb="2" eb="3">
      <t>メイ</t>
    </rPh>
    <phoneticPr fontId="1"/>
  </si>
  <si>
    <t>更新</t>
    <rPh sb="0" eb="2">
      <t>コウシン</t>
    </rPh>
    <phoneticPr fontId="1"/>
  </si>
  <si>
    <t>審査</t>
    <rPh sb="0" eb="2">
      <t>シンサ</t>
    </rPh>
    <phoneticPr fontId="1"/>
  </si>
  <si>
    <t>Version</t>
    <phoneticPr fontId="6"/>
  </si>
  <si>
    <t>移行対象</t>
    <rPh sb="0" eb="2">
      <t>イコウ</t>
    </rPh>
    <rPh sb="2" eb="4">
      <t>タイショウ</t>
    </rPh>
    <phoneticPr fontId="1"/>
  </si>
  <si>
    <t>作業備考</t>
    <rPh sb="0" eb="2">
      <t>サギョウ</t>
    </rPh>
    <rPh sb="2" eb="4">
      <t>ビコウ</t>
    </rPh>
    <phoneticPr fontId="1"/>
  </si>
  <si>
    <t>VarBinary</t>
    <phoneticPr fontId="1"/>
  </si>
  <si>
    <t>1.0.0</t>
    <phoneticPr fontId="1"/>
  </si>
  <si>
    <t>DB</t>
    <phoneticPr fontId="1"/>
  </si>
  <si>
    <t>ドキュメントID</t>
    <phoneticPr fontId="1"/>
  </si>
  <si>
    <t>データベース設計</t>
    <rPh sb="6" eb="8">
      <t>セッケイ</t>
    </rPh>
    <phoneticPr fontId="19"/>
  </si>
  <si>
    <t>ITB</t>
    <phoneticPr fontId="8"/>
  </si>
  <si>
    <t>永野</t>
    <rPh sb="0" eb="2">
      <t>ナガノ</t>
    </rPh>
    <phoneticPr fontId="8"/>
  </si>
  <si>
    <t>MySQL</t>
    <phoneticPr fontId="1"/>
  </si>
  <si>
    <t>Text</t>
    <phoneticPr fontId="1"/>
  </si>
  <si>
    <t>テーブル設計書</t>
    <rPh sb="4" eb="7">
      <t>セッケイショ</t>
    </rPh>
    <phoneticPr fontId="1"/>
  </si>
  <si>
    <t>登録日時</t>
    <rPh sb="0" eb="2">
      <t>トウロク</t>
    </rPh>
    <rPh sb="2" eb="4">
      <t>ニチジ</t>
    </rPh>
    <phoneticPr fontId="19"/>
  </si>
  <si>
    <t>登録者</t>
    <rPh sb="0" eb="3">
      <t>トウロクシャ</t>
    </rPh>
    <phoneticPr fontId="19"/>
  </si>
  <si>
    <t>更新日時</t>
    <rPh sb="0" eb="2">
      <t>コウシン</t>
    </rPh>
    <rPh sb="2" eb="4">
      <t>ニチジ</t>
    </rPh>
    <phoneticPr fontId="19"/>
  </si>
  <si>
    <t>更新者</t>
    <rPh sb="0" eb="3">
      <t>コウシンシャ</t>
    </rPh>
    <phoneticPr fontId="19"/>
  </si>
  <si>
    <t>削除FLG</t>
    <rPh sb="0" eb="2">
      <t>サクジョ</t>
    </rPh>
    <phoneticPr fontId="19"/>
  </si>
  <si>
    <t>テーブル定義書</t>
    <rPh sb="4" eb="6">
      <t>テイギ</t>
    </rPh>
    <rPh sb="6" eb="7">
      <t>ショ</t>
    </rPh>
    <phoneticPr fontId="1"/>
  </si>
  <si>
    <t>TimeStamp</t>
    <phoneticPr fontId="1"/>
  </si>
  <si>
    <t>Time</t>
    <phoneticPr fontId="1"/>
  </si>
  <si>
    <t>登録機能ID</t>
    <rPh sb="0" eb="2">
      <t>トウロク</t>
    </rPh>
    <rPh sb="2" eb="4">
      <t>キノウ</t>
    </rPh>
    <phoneticPr fontId="19"/>
  </si>
  <si>
    <t>4,0</t>
    <phoneticPr fontId="20"/>
  </si>
  <si>
    <t>更新機能ID</t>
    <rPh sb="0" eb="2">
      <t>コウシン</t>
    </rPh>
    <rPh sb="2" eb="4">
      <t>キノウ</t>
    </rPh>
    <phoneticPr fontId="19"/>
  </si>
  <si>
    <t>登録日時</t>
    <phoneticPr fontId="20"/>
  </si>
  <si>
    <t>登録者</t>
    <phoneticPr fontId="20"/>
  </si>
  <si>
    <t>登録機能ID</t>
    <phoneticPr fontId="20"/>
  </si>
  <si>
    <t>更新日時</t>
    <phoneticPr fontId="20"/>
  </si>
  <si>
    <t>更新者</t>
    <phoneticPr fontId="20"/>
  </si>
  <si>
    <t>更新機能ID</t>
    <phoneticPr fontId="20"/>
  </si>
  <si>
    <t>削除FLG</t>
    <phoneticPr fontId="20"/>
  </si>
  <si>
    <t>内部更新日時</t>
    <rPh sb="0" eb="2">
      <t>ナイブ</t>
    </rPh>
    <rPh sb="2" eb="4">
      <t>コウシン</t>
    </rPh>
    <rPh sb="4" eb="6">
      <t>ニチジ</t>
    </rPh>
    <phoneticPr fontId="19"/>
  </si>
  <si>
    <t>内部更新者</t>
    <rPh sb="2" eb="5">
      <t>コウシンシャ</t>
    </rPh>
    <phoneticPr fontId="19"/>
  </si>
  <si>
    <t>内部更新機能ID</t>
    <rPh sb="2" eb="4">
      <t>コウシン</t>
    </rPh>
    <rPh sb="4" eb="6">
      <t>キノウ</t>
    </rPh>
    <phoneticPr fontId="19"/>
  </si>
  <si>
    <t>内部更新日時</t>
    <phoneticPr fontId="20"/>
  </si>
  <si>
    <t>内部更新者</t>
    <phoneticPr fontId="20"/>
  </si>
  <si>
    <t>内部更新機能ID</t>
    <phoneticPr fontId="20"/>
  </si>
  <si>
    <t>Int</t>
    <phoneticPr fontId="1"/>
  </si>
  <si>
    <t>●</t>
    <phoneticPr fontId="1"/>
  </si>
  <si>
    <t>4,0</t>
    <phoneticPr fontId="1"/>
  </si>
  <si>
    <t>Longblob</t>
    <phoneticPr fontId="1"/>
  </si>
  <si>
    <t>登録機能ID</t>
    <rPh sb="0" eb="2">
      <t>トウロク</t>
    </rPh>
    <rPh sb="2" eb="4">
      <t>キノウ</t>
    </rPh>
    <phoneticPr fontId="1"/>
  </si>
  <si>
    <t>更新機能ID</t>
    <rPh sb="0" eb="2">
      <t>コウシン</t>
    </rPh>
    <rPh sb="2" eb="4">
      <t>キノウ</t>
    </rPh>
    <phoneticPr fontId="1"/>
  </si>
  <si>
    <t>7,0</t>
    <phoneticPr fontId="1"/>
  </si>
  <si>
    <t>商品PTNCD</t>
    <rPh sb="0" eb="2">
      <t>ショウヒン</t>
    </rPh>
    <phoneticPr fontId="1"/>
  </si>
  <si>
    <t>5,0</t>
    <phoneticPr fontId="1"/>
  </si>
  <si>
    <t>登録機能ID</t>
    <phoneticPr fontId="1"/>
  </si>
  <si>
    <t>更新機能ID</t>
    <phoneticPr fontId="1"/>
  </si>
  <si>
    <t>2,0</t>
    <phoneticPr fontId="1"/>
  </si>
  <si>
    <t>事業所CD</t>
    <rPh sb="0" eb="3">
      <t>ジギョウショ</t>
    </rPh>
    <phoneticPr fontId="1"/>
  </si>
  <si>
    <t>母ヶ野</t>
    <rPh sb="0" eb="3">
      <t>ホガノ</t>
    </rPh>
    <phoneticPr fontId="1"/>
  </si>
  <si>
    <t>umtsystem</t>
    <phoneticPr fontId="1"/>
  </si>
  <si>
    <t>9,3</t>
    <phoneticPr fontId="1"/>
  </si>
  <si>
    <t>株式会社　上原ミート</t>
  </si>
  <si>
    <t>業務管理システム</t>
  </si>
  <si>
    <t>変更者</t>
    <rPh sb="0" eb="2">
      <t>ヘンコウ</t>
    </rPh>
    <rPh sb="2" eb="3">
      <t>シャ</t>
    </rPh>
    <phoneticPr fontId="6"/>
  </si>
  <si>
    <t>変更日</t>
    <rPh sb="0" eb="2">
      <t>ヘンコウ</t>
    </rPh>
    <rPh sb="2" eb="3">
      <t>ニチ</t>
    </rPh>
    <phoneticPr fontId="6"/>
  </si>
  <si>
    <t>サブシステム</t>
    <phoneticPr fontId="6"/>
  </si>
  <si>
    <t>2,0</t>
    <phoneticPr fontId="23"/>
  </si>
  <si>
    <t>●</t>
    <phoneticPr fontId="23"/>
  </si>
  <si>
    <t>6,0</t>
    <phoneticPr fontId="23"/>
  </si>
  <si>
    <t>1,0</t>
    <phoneticPr fontId="23"/>
  </si>
  <si>
    <t>Int(AI)</t>
    <phoneticPr fontId="1"/>
  </si>
  <si>
    <t>開発中・済</t>
    <rPh sb="0" eb="2">
      <t>カイハツ</t>
    </rPh>
    <rPh sb="2" eb="3">
      <t>チュウ</t>
    </rPh>
    <rPh sb="4" eb="5">
      <t>ス</t>
    </rPh>
    <phoneticPr fontId="6"/>
  </si>
  <si>
    <t>商品CD</t>
    <rPh sb="0" eb="2">
      <t>ショウヒン</t>
    </rPh>
    <phoneticPr fontId="1"/>
  </si>
  <si>
    <t>適用開始日</t>
    <rPh sb="0" eb="2">
      <t>テキヨウ</t>
    </rPh>
    <rPh sb="2" eb="4">
      <t>カイシ</t>
    </rPh>
    <rPh sb="4" eb="5">
      <t>ビ</t>
    </rPh>
    <phoneticPr fontId="1"/>
  </si>
  <si>
    <t>適用終了日</t>
    <rPh sb="0" eb="2">
      <t>テキヨウ</t>
    </rPh>
    <rPh sb="2" eb="5">
      <t>シュウリョウビ</t>
    </rPh>
    <phoneticPr fontId="1"/>
  </si>
  <si>
    <t>評価単価</t>
    <rPh sb="0" eb="2">
      <t>ヒョウカ</t>
    </rPh>
    <rPh sb="2" eb="4">
      <t>タンカ</t>
    </rPh>
    <phoneticPr fontId="1"/>
  </si>
  <si>
    <t>7,0</t>
    <phoneticPr fontId="23"/>
  </si>
  <si>
    <t>氏名</t>
    <rPh sb="0" eb="2">
      <t>シメイ</t>
    </rPh>
    <phoneticPr fontId="23"/>
  </si>
  <si>
    <t>氏名カナ</t>
    <rPh sb="0" eb="2">
      <t>シメイ</t>
    </rPh>
    <phoneticPr fontId="23"/>
  </si>
  <si>
    <t>電話番号</t>
    <rPh sb="0" eb="4">
      <t>デンワバンゴウ</t>
    </rPh>
    <phoneticPr fontId="23"/>
  </si>
  <si>
    <t>テーブル一覧表</t>
    <rPh sb="4" eb="6">
      <t>イチラン</t>
    </rPh>
    <rPh sb="6" eb="7">
      <t>ヒョウ</t>
    </rPh>
    <phoneticPr fontId="6"/>
  </si>
  <si>
    <t>m_会社</t>
    <phoneticPr fontId="21"/>
  </si>
  <si>
    <t>itb_sql_lecture</t>
    <phoneticPr fontId="20"/>
  </si>
  <si>
    <t>m_社員</t>
    <rPh sb="2" eb="4">
      <t>シャイン</t>
    </rPh>
    <phoneticPr fontId="23"/>
  </si>
  <si>
    <t>会社CD</t>
    <rPh sb="0" eb="2">
      <t>カイシャ</t>
    </rPh>
    <phoneticPr fontId="21"/>
  </si>
  <si>
    <t>会社名</t>
    <rPh sb="0" eb="3">
      <t>カイシャメイ</t>
    </rPh>
    <phoneticPr fontId="21"/>
  </si>
  <si>
    <t>会社名カナ</t>
    <rPh sb="0" eb="3">
      <t>カイシャメイ</t>
    </rPh>
    <phoneticPr fontId="21"/>
  </si>
  <si>
    <t>会社名略称</t>
    <rPh sb="0" eb="3">
      <t>カイシャメイ</t>
    </rPh>
    <rPh sb="3" eb="5">
      <t>リャクショウ</t>
    </rPh>
    <phoneticPr fontId="21"/>
  </si>
  <si>
    <t>郵便番号</t>
    <rPh sb="0" eb="4">
      <t>ユウビンバンゴウ</t>
    </rPh>
    <phoneticPr fontId="21"/>
  </si>
  <si>
    <t>住所1</t>
    <rPh sb="0" eb="2">
      <t>ジュウショ</t>
    </rPh>
    <phoneticPr fontId="21"/>
  </si>
  <si>
    <t>住所2</t>
    <rPh sb="0" eb="2">
      <t>ジュウショ</t>
    </rPh>
    <phoneticPr fontId="21"/>
  </si>
  <si>
    <t>住所3</t>
    <rPh sb="0" eb="2">
      <t>ジュウショ</t>
    </rPh>
    <phoneticPr fontId="21"/>
  </si>
  <si>
    <t>電話番号</t>
    <rPh sb="0" eb="4">
      <t>デンワバンゴウ</t>
    </rPh>
    <phoneticPr fontId="21"/>
  </si>
  <si>
    <t>FAX番号</t>
    <rPh sb="3" eb="5">
      <t>バンゴウ</t>
    </rPh>
    <phoneticPr fontId="21"/>
  </si>
  <si>
    <t>1,0</t>
    <phoneticPr fontId="21"/>
  </si>
  <si>
    <t>●</t>
    <phoneticPr fontId="21"/>
  </si>
  <si>
    <t>社員CD</t>
    <rPh sb="0" eb="2">
      <t>シャイン</t>
    </rPh>
    <phoneticPr fontId="23"/>
  </si>
  <si>
    <t>役職CD</t>
    <rPh sb="0" eb="2">
      <t>ヤクショク</t>
    </rPh>
    <phoneticPr fontId="23"/>
  </si>
  <si>
    <t>所属部署CD</t>
    <rPh sb="0" eb="2">
      <t>ショゾク</t>
    </rPh>
    <rPh sb="2" eb="4">
      <t>ブショ</t>
    </rPh>
    <phoneticPr fontId="23"/>
  </si>
  <si>
    <t>所属部署名</t>
    <rPh sb="0" eb="2">
      <t>ショゾク</t>
    </rPh>
    <rPh sb="2" eb="4">
      <t>ブショ</t>
    </rPh>
    <rPh sb="4" eb="5">
      <t>メイ</t>
    </rPh>
    <phoneticPr fontId="23"/>
  </si>
  <si>
    <t>所属部署名カナ</t>
    <rPh sb="0" eb="5">
      <t>ショゾクブショメイ</t>
    </rPh>
    <phoneticPr fontId="23"/>
  </si>
  <si>
    <t>内線番号</t>
    <rPh sb="0" eb="4">
      <t>ナイセンバンゴウ</t>
    </rPh>
    <phoneticPr fontId="23"/>
  </si>
  <si>
    <t>m_所属部署</t>
    <phoneticPr fontId="23"/>
  </si>
  <si>
    <t>役職名</t>
    <rPh sb="0" eb="3">
      <t>ヤクショクメイ</t>
    </rPh>
    <phoneticPr fontId="23"/>
  </si>
  <si>
    <t>m_役職</t>
    <phoneticPr fontId="23"/>
  </si>
  <si>
    <t>役職名カナ</t>
    <phoneticPr fontId="23"/>
  </si>
  <si>
    <t>役職手当</t>
    <rPh sb="0" eb="4">
      <t>ヤクショクテアテ</t>
    </rPh>
    <phoneticPr fontId="23"/>
  </si>
  <si>
    <t>性別区分</t>
  </si>
  <si>
    <t>性別区分</t>
    <rPh sb="0" eb="4">
      <t>セイベツクブン</t>
    </rPh>
    <phoneticPr fontId="23"/>
  </si>
  <si>
    <t>m_性別</t>
    <rPh sb="2" eb="4">
      <t>セイベツ</t>
    </rPh>
    <phoneticPr fontId="23"/>
  </si>
  <si>
    <t>性別区分</t>
    <rPh sb="0" eb="2">
      <t>セイベツ</t>
    </rPh>
    <rPh sb="2" eb="4">
      <t>クブン</t>
    </rPh>
    <phoneticPr fontId="23"/>
  </si>
  <si>
    <t>性別名</t>
    <rPh sb="0" eb="3">
      <t>セイベツメイ</t>
    </rPh>
    <phoneticPr fontId="23"/>
  </si>
  <si>
    <t>売上伝票番号</t>
    <rPh sb="0" eb="6">
      <t>ウリアゲデンピョウバンゴウ</t>
    </rPh>
    <phoneticPr fontId="23"/>
  </si>
  <si>
    <t>出荷日</t>
    <rPh sb="0" eb="3">
      <t>シュッカビ</t>
    </rPh>
    <phoneticPr fontId="23"/>
  </si>
  <si>
    <t>納品日</t>
    <rPh sb="0" eb="3">
      <t>ノウヒンビ</t>
    </rPh>
    <phoneticPr fontId="23"/>
  </si>
  <si>
    <t>売上日</t>
    <rPh sb="0" eb="3">
      <t>ウリアゲビ</t>
    </rPh>
    <phoneticPr fontId="23"/>
  </si>
  <si>
    <t>得意先CD</t>
    <rPh sb="0" eb="3">
      <t>トクイサキ</t>
    </rPh>
    <phoneticPr fontId="23"/>
  </si>
  <si>
    <t>m_得意先</t>
    <phoneticPr fontId="23"/>
  </si>
  <si>
    <t>得意先名</t>
    <rPh sb="0" eb="4">
      <t>トクイサキメイ</t>
    </rPh>
    <phoneticPr fontId="23"/>
  </si>
  <si>
    <t>得意先名カナ</t>
    <rPh sb="0" eb="4">
      <t>トクイサキメイ</t>
    </rPh>
    <phoneticPr fontId="23"/>
  </si>
  <si>
    <t>得意先略称</t>
    <rPh sb="0" eb="5">
      <t>トクイサキリャクショウ</t>
    </rPh>
    <phoneticPr fontId="23"/>
  </si>
  <si>
    <t>郵便番号</t>
    <rPh sb="0" eb="4">
      <t>ユウビンバンゴウ</t>
    </rPh>
    <phoneticPr fontId="23"/>
  </si>
  <si>
    <t>住所1</t>
    <rPh sb="0" eb="2">
      <t>ジュウショ</t>
    </rPh>
    <phoneticPr fontId="23"/>
  </si>
  <si>
    <t>住所2</t>
    <rPh sb="0" eb="2">
      <t>ジュウショ</t>
    </rPh>
    <phoneticPr fontId="23"/>
  </si>
  <si>
    <t>住所3</t>
    <rPh sb="0" eb="2">
      <t>ジュウショ</t>
    </rPh>
    <phoneticPr fontId="23"/>
  </si>
  <si>
    <t>FAX番号</t>
    <rPh sb="3" eb="5">
      <t>バンゴウ</t>
    </rPh>
    <phoneticPr fontId="23"/>
  </si>
  <si>
    <t>8,0</t>
    <phoneticPr fontId="23"/>
  </si>
  <si>
    <t>得意先担当者CD</t>
    <rPh sb="0" eb="3">
      <t>トクイサキ</t>
    </rPh>
    <rPh sb="3" eb="6">
      <t>タントウシャ</t>
    </rPh>
    <phoneticPr fontId="23"/>
  </si>
  <si>
    <t>m_商品</t>
    <phoneticPr fontId="23"/>
  </si>
  <si>
    <t>商品CD</t>
    <rPh sb="0" eb="2">
      <t>ショウヒン</t>
    </rPh>
    <phoneticPr fontId="23"/>
  </si>
  <si>
    <t>商品名</t>
    <rPh sb="0" eb="3">
      <t>ショウヒンメイ</t>
    </rPh>
    <phoneticPr fontId="23"/>
  </si>
  <si>
    <t>商品名カナ</t>
    <rPh sb="0" eb="3">
      <t>ショウヒンメイ</t>
    </rPh>
    <phoneticPr fontId="23"/>
  </si>
  <si>
    <t>MakerCD</t>
    <phoneticPr fontId="23"/>
  </si>
  <si>
    <t>税抜販売価格</t>
    <rPh sb="0" eb="2">
      <t>ゼイヌキ</t>
    </rPh>
    <rPh sb="2" eb="6">
      <t>ハンバイカカク</t>
    </rPh>
    <phoneticPr fontId="23"/>
  </si>
  <si>
    <t>税抜原価価格</t>
    <rPh sb="0" eb="2">
      <t>ゼイヌキ</t>
    </rPh>
    <rPh sb="2" eb="4">
      <t>ゲンカ</t>
    </rPh>
    <rPh sb="4" eb="6">
      <t>カカク</t>
    </rPh>
    <phoneticPr fontId="23"/>
  </si>
  <si>
    <t>売上時軽減税率対象FLG</t>
    <rPh sb="0" eb="2">
      <t>ウリアゲ</t>
    </rPh>
    <rPh sb="2" eb="3">
      <t>ジ</t>
    </rPh>
    <rPh sb="3" eb="7">
      <t>ケイゲンゼイリツ</t>
    </rPh>
    <rPh sb="7" eb="9">
      <t>タイショウ</t>
    </rPh>
    <phoneticPr fontId="23"/>
  </si>
  <si>
    <t>仕入時軽減税率対象FLG</t>
    <rPh sb="0" eb="2">
      <t>シイレ</t>
    </rPh>
    <phoneticPr fontId="23"/>
  </si>
  <si>
    <t>商品分類CD</t>
    <rPh sb="0" eb="4">
      <t>ショウヒンブンルイ</t>
    </rPh>
    <phoneticPr fontId="23"/>
  </si>
  <si>
    <t>9,2</t>
    <phoneticPr fontId="23"/>
  </si>
  <si>
    <t>m_Maker</t>
    <phoneticPr fontId="23"/>
  </si>
  <si>
    <t>Maker名</t>
    <rPh sb="5" eb="6">
      <t>メイ</t>
    </rPh>
    <phoneticPr fontId="23"/>
  </si>
  <si>
    <t>Maker名カナ</t>
    <rPh sb="5" eb="6">
      <t>メイ</t>
    </rPh>
    <phoneticPr fontId="23"/>
  </si>
  <si>
    <t>m_商品分類</t>
    <phoneticPr fontId="23"/>
  </si>
  <si>
    <t>商品分類名</t>
    <rPh sb="0" eb="5">
      <t>ショウヒンブンルイメイ</t>
    </rPh>
    <phoneticPr fontId="23"/>
  </si>
  <si>
    <t>商品分類名カナ</t>
    <rPh sb="0" eb="5">
      <t>ショウヒンブンルイメイ</t>
    </rPh>
    <phoneticPr fontId="23"/>
  </si>
  <si>
    <t>型番</t>
    <rPh sb="0" eb="2">
      <t>カタバン</t>
    </rPh>
    <phoneticPr fontId="23"/>
  </si>
  <si>
    <t>明細番号</t>
    <rPh sb="0" eb="4">
      <t>メイサイバンゴウ</t>
    </rPh>
    <phoneticPr fontId="23"/>
  </si>
  <si>
    <t>販売数量</t>
    <rPh sb="0" eb="4">
      <t>ハンバイスウリョウ</t>
    </rPh>
    <phoneticPr fontId="23"/>
  </si>
  <si>
    <t>10,0</t>
    <phoneticPr fontId="23"/>
  </si>
  <si>
    <t>t_売上</t>
    <phoneticPr fontId="2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</si>
</sst>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m&quot;月&quot;d&quot;日&quot;;@"/>
    <numFmt numFmtId="177" formatCode="yyyy&quot;年&quot;mm&quot;月&quot;dd&quot;日&quot;;@"/>
    <numFmt numFmtId="178" formatCode="yy/mm/dd"/>
  </numFmts>
  <fonts count="24">
    <font>
      <sz val="9"/>
      <color theme="1"/>
      <name val="ＭＳ Ｐゴシック"/>
      <family val="3"/>
      <charset val="128"/>
      <scheme val="minor"/>
    </font>
    <font>
      <sz val="6"/>
      <name val="ＭＳ Ｐゴシック"/>
      <family val="3"/>
      <charset val="128"/>
    </font>
    <font>
      <sz val="11"/>
      <name val="ＭＳ Ｐゴシック"/>
      <family val="3"/>
      <charset val="128"/>
    </font>
    <font>
      <sz val="10"/>
      <name val="ＭＳ ゴシック"/>
      <family val="3"/>
      <charset val="128"/>
    </font>
    <font>
      <sz val="9"/>
      <name val="ＭＳ ゴシック"/>
      <family val="3"/>
      <charset val="128"/>
    </font>
    <font>
      <sz val="9"/>
      <name val="ＭＳ 明朝"/>
      <family val="1"/>
      <charset val="128"/>
    </font>
    <font>
      <sz val="6"/>
      <name val="ＭＳ Ｐゴシック"/>
      <family val="3"/>
      <charset val="128"/>
    </font>
    <font>
      <sz val="11"/>
      <name val="明朝"/>
      <family val="1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20"/>
      <name val="HG丸ｺﾞｼｯｸM-PRO"/>
      <family val="3"/>
      <charset val="128"/>
    </font>
    <font>
      <u/>
      <sz val="10"/>
      <name val="ＭＳ ゴシック"/>
      <family val="3"/>
      <charset val="128"/>
    </font>
    <font>
      <b/>
      <u/>
      <sz val="10"/>
      <name val="ＭＳ ゴシック"/>
      <family val="3"/>
      <charset val="128"/>
    </font>
    <font>
      <sz val="9"/>
      <color indexed="8"/>
      <name val="ＭＳ 明朝"/>
      <family val="1"/>
      <charset val="128"/>
    </font>
    <font>
      <sz val="10"/>
      <color indexed="8"/>
      <name val="ＭＳ 明朝"/>
      <family val="1"/>
      <charset val="128"/>
    </font>
    <font>
      <sz val="9"/>
      <color indexed="8"/>
      <name val="ＭＳ ゴシック"/>
      <family val="3"/>
      <charset val="128"/>
    </font>
    <font>
      <b/>
      <sz val="14"/>
      <color indexed="8"/>
      <name val="ＭＳ ゴシック"/>
      <family val="3"/>
      <charset val="128"/>
    </font>
    <font>
      <b/>
      <sz val="9"/>
      <color indexed="8"/>
      <name val="ＭＳ 明朝"/>
      <family val="1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u/>
      <sz val="9"/>
      <color theme="10"/>
      <name val="ＭＳ Ｐゴシック"/>
      <family val="3"/>
      <charset val="128"/>
    </font>
    <font>
      <sz val="6"/>
      <name val="ＭＳ Ｐ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</fills>
  <borders count="60">
    <border>
      <left/>
      <right/>
      <top/>
      <bottom/>
      <diagonal/>
    </border>
    <border>
      <left/>
      <right/>
      <top style="medium">
        <color indexed="56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56"/>
      </left>
      <right/>
      <top style="medium">
        <color indexed="56"/>
      </top>
      <bottom/>
      <diagonal/>
    </border>
    <border>
      <left/>
      <right/>
      <top style="medium">
        <color indexed="56"/>
      </top>
      <bottom/>
      <diagonal/>
    </border>
    <border>
      <left/>
      <right style="medium">
        <color indexed="56"/>
      </right>
      <top style="medium">
        <color indexed="56"/>
      </top>
      <bottom/>
      <diagonal/>
    </border>
    <border>
      <left style="medium">
        <color indexed="56"/>
      </left>
      <right/>
      <top/>
      <bottom/>
      <diagonal/>
    </border>
    <border>
      <left/>
      <right style="medium">
        <color indexed="56"/>
      </right>
      <top/>
      <bottom/>
      <diagonal/>
    </border>
    <border>
      <left style="medium">
        <color indexed="56"/>
      </left>
      <right/>
      <top/>
      <bottom style="medium">
        <color indexed="56"/>
      </bottom>
      <diagonal/>
    </border>
    <border>
      <left/>
      <right/>
      <top/>
      <bottom style="medium">
        <color indexed="56"/>
      </bottom>
      <diagonal/>
    </border>
    <border>
      <left/>
      <right style="medium">
        <color indexed="56"/>
      </right>
      <top/>
      <bottom style="medium">
        <color indexed="56"/>
      </bottom>
      <diagonal/>
    </border>
    <border>
      <left/>
      <right style="thin">
        <color indexed="64"/>
      </right>
      <top style="medium">
        <color indexed="56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56"/>
      </top>
      <bottom style="thin">
        <color indexed="64"/>
      </bottom>
      <diagonal/>
    </border>
    <border>
      <left style="thin">
        <color indexed="64"/>
      </left>
      <right style="medium">
        <color indexed="56"/>
      </right>
      <top style="medium">
        <color indexed="56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56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56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medium">
        <color indexed="56"/>
      </left>
      <right style="thin">
        <color indexed="64"/>
      </right>
      <top style="medium">
        <color indexed="56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56"/>
      </top>
      <bottom style="hair">
        <color indexed="64"/>
      </bottom>
      <diagonal/>
    </border>
    <border>
      <left style="thin">
        <color indexed="64"/>
      </left>
      <right/>
      <top style="medium">
        <color indexed="56"/>
      </top>
      <bottom style="hair">
        <color indexed="64"/>
      </bottom>
      <diagonal/>
    </border>
    <border>
      <left/>
      <right/>
      <top style="medium">
        <color indexed="56"/>
      </top>
      <bottom style="hair">
        <color indexed="64"/>
      </bottom>
      <diagonal/>
    </border>
    <border>
      <left/>
      <right style="medium">
        <color indexed="56"/>
      </right>
      <top style="medium">
        <color indexed="56"/>
      </top>
      <bottom style="hair">
        <color indexed="64"/>
      </bottom>
      <diagonal/>
    </border>
    <border>
      <left/>
      <right style="thin">
        <color indexed="64"/>
      </right>
      <top style="medium">
        <color indexed="56"/>
      </top>
      <bottom style="hair">
        <color indexed="64"/>
      </bottom>
      <diagonal/>
    </border>
    <border>
      <left style="medium">
        <color indexed="56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56"/>
      </right>
      <top style="hair">
        <color indexed="64"/>
      </top>
      <bottom style="hair">
        <color indexed="64"/>
      </bottom>
      <diagonal/>
    </border>
    <border>
      <left style="medium">
        <color indexed="56"/>
      </left>
      <right style="thin">
        <color indexed="64"/>
      </right>
      <top style="hair">
        <color indexed="64"/>
      </top>
      <bottom style="medium">
        <color indexed="56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56"/>
      </bottom>
      <diagonal/>
    </border>
    <border>
      <left style="thin">
        <color indexed="64"/>
      </left>
      <right/>
      <top style="hair">
        <color indexed="64"/>
      </top>
      <bottom style="medium">
        <color indexed="56"/>
      </bottom>
      <diagonal/>
    </border>
    <border>
      <left/>
      <right/>
      <top style="hair">
        <color indexed="64"/>
      </top>
      <bottom style="medium">
        <color indexed="56"/>
      </bottom>
      <diagonal/>
    </border>
    <border>
      <left/>
      <right style="medium">
        <color indexed="56"/>
      </right>
      <top style="hair">
        <color indexed="64"/>
      </top>
      <bottom style="medium">
        <color indexed="56"/>
      </bottom>
      <diagonal/>
    </border>
    <border>
      <left/>
      <right style="thin">
        <color indexed="64"/>
      </right>
      <top style="hair">
        <color indexed="64"/>
      </top>
      <bottom style="medium">
        <color indexed="56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>
      <alignment vertical="center"/>
    </xf>
    <xf numFmtId="0" fontId="22" fillId="0" borderId="0" applyNumberFormat="0" applyFill="0" applyBorder="0" applyAlignment="0" applyProtection="0">
      <alignment vertical="top"/>
      <protection locked="0"/>
    </xf>
    <xf numFmtId="0" fontId="2" fillId="0" borderId="0"/>
    <xf numFmtId="0" fontId="7" fillId="0" borderId="0"/>
    <xf numFmtId="0" fontId="2" fillId="0" borderId="0"/>
    <xf numFmtId="0" fontId="7" fillId="0" borderId="0"/>
    <xf numFmtId="0" fontId="9" fillId="0" borderId="0"/>
  </cellStyleXfs>
  <cellXfs count="236">
    <xf numFmtId="0" fontId="0" fillId="0" borderId="0" xfId="0">
      <alignment vertical="center"/>
    </xf>
    <xf numFmtId="0" fontId="13" fillId="2" borderId="1" xfId="2" applyFont="1" applyFill="1" applyBorder="1" applyAlignment="1" applyProtection="1">
      <alignment vertical="center"/>
      <protection locked="0"/>
    </xf>
    <xf numFmtId="0" fontId="14" fillId="0" borderId="0" xfId="2" applyFont="1" applyAlignment="1">
      <alignment vertical="center"/>
    </xf>
    <xf numFmtId="0" fontId="13" fillId="2" borderId="2" xfId="2" applyFont="1" applyFill="1" applyBorder="1" applyAlignment="1" applyProtection="1">
      <alignment vertical="center"/>
      <protection locked="0"/>
    </xf>
    <xf numFmtId="0" fontId="13" fillId="2" borderId="3" xfId="2" applyFont="1" applyFill="1" applyBorder="1" applyAlignment="1" applyProtection="1">
      <alignment vertical="center"/>
      <protection locked="0"/>
    </xf>
    <xf numFmtId="0" fontId="13" fillId="2" borderId="4" xfId="2" applyFont="1" applyFill="1" applyBorder="1" applyAlignment="1" applyProtection="1">
      <alignment vertical="center"/>
      <protection locked="0"/>
    </xf>
    <xf numFmtId="0" fontId="13" fillId="2" borderId="5" xfId="2" applyFont="1" applyFill="1" applyBorder="1" applyAlignment="1" applyProtection="1">
      <alignment vertical="center"/>
      <protection locked="0"/>
    </xf>
    <xf numFmtId="0" fontId="3" fillId="0" borderId="0" xfId="2" applyFont="1"/>
    <xf numFmtId="0" fontId="4" fillId="0" borderId="0" xfId="2" applyFont="1"/>
    <xf numFmtId="0" fontId="3" fillId="3" borderId="6" xfId="2" applyFont="1" applyFill="1" applyBorder="1" applyAlignment="1">
      <alignment horizontal="center"/>
    </xf>
    <xf numFmtId="0" fontId="3" fillId="0" borderId="8" xfId="2" applyFont="1" applyBorder="1" applyAlignment="1">
      <alignment horizontal="right"/>
    </xf>
    <xf numFmtId="0" fontId="15" fillId="0" borderId="0" xfId="0" applyFont="1">
      <alignment vertical="center"/>
    </xf>
    <xf numFmtId="0" fontId="3" fillId="0" borderId="0" xfId="5" applyFont="1" applyAlignment="1">
      <alignment horizontal="centerContinuous"/>
    </xf>
    <xf numFmtId="49" fontId="3" fillId="0" borderId="0" xfId="5" applyNumberFormat="1" applyFont="1" applyAlignment="1">
      <alignment horizontal="centerContinuous"/>
    </xf>
    <xf numFmtId="49" fontId="3" fillId="0" borderId="0" xfId="5" quotePrefix="1" applyNumberFormat="1" applyFont="1" applyAlignment="1">
      <alignment horizontal="centerContinuous"/>
    </xf>
    <xf numFmtId="0" fontId="3" fillId="0" borderId="0" xfId="4" applyFont="1" applyAlignment="1">
      <alignment horizontal="centerContinuous"/>
    </xf>
    <xf numFmtId="0" fontId="3" fillId="0" borderId="0" xfId="5" applyFont="1"/>
    <xf numFmtId="0" fontId="3" fillId="0" borderId="0" xfId="3" applyFont="1"/>
    <xf numFmtId="0" fontId="3" fillId="0" borderId="0" xfId="6" applyFont="1"/>
    <xf numFmtId="0" fontId="11" fillId="0" borderId="0" xfId="5" applyFont="1"/>
    <xf numFmtId="176" fontId="3" fillId="0" borderId="0" xfId="2" applyNumberFormat="1" applyFont="1"/>
    <xf numFmtId="0" fontId="16" fillId="0" borderId="0" xfId="0" applyFont="1">
      <alignment vertical="center"/>
    </xf>
    <xf numFmtId="0" fontId="3" fillId="3" borderId="7" xfId="2" applyFont="1" applyFill="1" applyBorder="1" applyAlignment="1">
      <alignment horizontal="right" vertical="top"/>
    </xf>
    <xf numFmtId="0" fontId="3" fillId="0" borderId="7" xfId="2" applyFont="1" applyBorder="1" applyAlignment="1">
      <alignment horizontal="right" vertical="top"/>
    </xf>
    <xf numFmtId="0" fontId="3" fillId="0" borderId="8" xfId="2" applyFont="1" applyBorder="1" applyAlignment="1">
      <alignment horizontal="right" vertical="top"/>
    </xf>
    <xf numFmtId="0" fontId="15" fillId="0" borderId="0" xfId="0" applyFont="1" applyAlignment="1">
      <alignment horizontal="center" vertical="center"/>
    </xf>
    <xf numFmtId="0" fontId="15" fillId="0" borderId="6" xfId="0" applyFont="1" applyBorder="1" applyAlignment="1">
      <alignment horizontal="center" vertical="center"/>
    </xf>
    <xf numFmtId="0" fontId="15" fillId="0" borderId="6" xfId="0" applyFont="1" applyBorder="1">
      <alignment vertical="center"/>
    </xf>
    <xf numFmtId="0" fontId="22" fillId="0" borderId="6" xfId="1" applyBorder="1" applyAlignment="1" applyProtection="1">
      <alignment horizontal="center" vertical="center"/>
    </xf>
    <xf numFmtId="0" fontId="3" fillId="0" borderId="0" xfId="2" applyFont="1" applyAlignment="1">
      <alignment vertical="top"/>
    </xf>
    <xf numFmtId="0" fontId="3" fillId="0" borderId="0" xfId="5" applyFont="1" applyAlignment="1">
      <alignment vertical="top"/>
    </xf>
    <xf numFmtId="0" fontId="15" fillId="0" borderId="0" xfId="0" applyFont="1" applyAlignment="1">
      <alignment vertical="top"/>
    </xf>
    <xf numFmtId="0" fontId="15" fillId="6" borderId="9" xfId="0" applyFont="1" applyFill="1" applyBorder="1" applyAlignment="1">
      <alignment horizontal="center" vertical="top"/>
    </xf>
    <xf numFmtId="0" fontId="15" fillId="6" borderId="10" xfId="0" applyFont="1" applyFill="1" applyBorder="1" applyAlignment="1">
      <alignment horizontal="center" vertical="top"/>
    </xf>
    <xf numFmtId="0" fontId="15" fillId="0" borderId="6" xfId="0" applyFont="1" applyBorder="1" applyAlignment="1">
      <alignment vertical="top"/>
    </xf>
    <xf numFmtId="0" fontId="15" fillId="0" borderId="0" xfId="0" applyFont="1" applyAlignment="1">
      <alignment horizontal="left" vertical="top" wrapText="1"/>
    </xf>
    <xf numFmtId="0" fontId="15" fillId="6" borderId="9" xfId="0" applyFont="1" applyFill="1" applyBorder="1" applyAlignment="1">
      <alignment horizontal="center" vertical="top" wrapText="1"/>
    </xf>
    <xf numFmtId="0" fontId="15" fillId="6" borderId="10" xfId="0" applyFont="1" applyFill="1" applyBorder="1" applyAlignment="1">
      <alignment horizontal="left" vertical="top" wrapText="1"/>
    </xf>
    <xf numFmtId="0" fontId="15" fillId="0" borderId="6" xfId="0" applyFont="1" applyBorder="1" applyAlignment="1">
      <alignment horizontal="left" vertical="top" wrapText="1"/>
    </xf>
    <xf numFmtId="0" fontId="15" fillId="6" borderId="9" xfId="0" applyFont="1" applyFill="1" applyBorder="1" applyAlignment="1">
      <alignment horizontal="center" vertical="center"/>
    </xf>
    <xf numFmtId="0" fontId="15" fillId="6" borderId="9" xfId="0" applyFont="1" applyFill="1" applyBorder="1" applyAlignment="1">
      <alignment horizontal="left" vertical="top" wrapText="1"/>
    </xf>
    <xf numFmtId="0" fontId="15" fillId="6" borderId="10" xfId="0" applyFont="1" applyFill="1" applyBorder="1" applyAlignment="1">
      <alignment horizontal="center" vertical="center"/>
    </xf>
    <xf numFmtId="0" fontId="3" fillId="0" borderId="2" xfId="2" applyFont="1" applyBorder="1" applyAlignment="1">
      <alignment vertical="top"/>
    </xf>
    <xf numFmtId="0" fontId="3" fillId="0" borderId="11" xfId="2" applyFont="1" applyBorder="1" applyAlignment="1">
      <alignment horizontal="right"/>
    </xf>
    <xf numFmtId="0" fontId="3" fillId="0" borderId="12" xfId="2" applyFont="1" applyBorder="1" applyAlignment="1">
      <alignment vertical="top"/>
    </xf>
    <xf numFmtId="0" fontId="3" fillId="0" borderId="13" xfId="2" applyFont="1" applyBorder="1" applyAlignment="1">
      <alignment horizontal="right" vertical="top"/>
    </xf>
    <xf numFmtId="0" fontId="3" fillId="0" borderId="11" xfId="2" applyFont="1" applyBorder="1" applyAlignment="1">
      <alignment horizontal="right" vertical="top"/>
    </xf>
    <xf numFmtId="0" fontId="3" fillId="3" borderId="13" xfId="2" applyFont="1" applyFill="1" applyBorder="1" applyAlignment="1">
      <alignment horizontal="right" vertical="top"/>
    </xf>
    <xf numFmtId="0" fontId="3" fillId="0" borderId="14" xfId="2" applyFont="1" applyBorder="1" applyAlignment="1">
      <alignment vertical="top"/>
    </xf>
    <xf numFmtId="0" fontId="3" fillId="3" borderId="15" xfId="2" applyFont="1" applyFill="1" applyBorder="1" applyAlignment="1">
      <alignment horizontal="right" vertical="top"/>
    </xf>
    <xf numFmtId="0" fontId="3" fillId="0" borderId="15" xfId="2" applyFont="1" applyBorder="1" applyAlignment="1">
      <alignment horizontal="right" vertical="top"/>
    </xf>
    <xf numFmtId="0" fontId="3" fillId="0" borderId="16" xfId="2" applyFont="1" applyBorder="1" applyAlignment="1">
      <alignment horizontal="right" vertical="top"/>
    </xf>
    <xf numFmtId="0" fontId="3" fillId="0" borderId="16" xfId="2" applyFont="1" applyBorder="1" applyAlignment="1">
      <alignment horizontal="right"/>
    </xf>
    <xf numFmtId="0" fontId="0" fillId="0" borderId="6" xfId="0" applyBorder="1">
      <alignment vertical="center"/>
    </xf>
    <xf numFmtId="0" fontId="22" fillId="0" borderId="6" xfId="1" applyFill="1" applyBorder="1" applyAlignment="1" applyProtection="1">
      <alignment vertical="center"/>
    </xf>
    <xf numFmtId="178" fontId="15" fillId="0" borderId="6" xfId="0" applyNumberFormat="1" applyFont="1" applyBorder="1" applyAlignment="1">
      <alignment horizontal="center" vertical="center"/>
    </xf>
    <xf numFmtId="0" fontId="15" fillId="0" borderId="6" xfId="0" applyFont="1" applyBorder="1" applyAlignment="1">
      <alignment horizontal="center" vertical="center" shrinkToFit="1"/>
    </xf>
    <xf numFmtId="49" fontId="15" fillId="0" borderId="6" xfId="0" applyNumberFormat="1" applyFont="1" applyBorder="1" applyAlignment="1">
      <alignment horizontal="left" vertical="top" wrapText="1"/>
    </xf>
    <xf numFmtId="0" fontId="15" fillId="0" borderId="0" xfId="0" applyFont="1" applyAlignment="1">
      <alignment horizontal="center" vertical="center" wrapText="1"/>
    </xf>
    <xf numFmtId="0" fontId="3" fillId="3" borderId="2" xfId="2" applyFont="1" applyFill="1" applyBorder="1" applyAlignment="1">
      <alignment vertical="top"/>
    </xf>
    <xf numFmtId="0" fontId="3" fillId="3" borderId="12" xfId="2" applyFont="1" applyFill="1" applyBorder="1" applyAlignment="1">
      <alignment vertical="top"/>
    </xf>
    <xf numFmtId="0" fontId="3" fillId="3" borderId="14" xfId="2" applyFont="1" applyFill="1" applyBorder="1" applyAlignment="1">
      <alignment vertical="top"/>
    </xf>
    <xf numFmtId="0" fontId="10" fillId="0" borderId="0" xfId="5" applyFont="1" applyAlignment="1">
      <alignment horizontal="center"/>
    </xf>
    <xf numFmtId="0" fontId="3" fillId="4" borderId="14" xfId="2" applyFont="1" applyFill="1" applyBorder="1" applyAlignment="1">
      <alignment horizontal="center" vertical="top"/>
    </xf>
    <xf numFmtId="0" fontId="3" fillId="4" borderId="2" xfId="2" applyFont="1" applyFill="1" applyBorder="1" applyAlignment="1">
      <alignment horizontal="center" vertical="top"/>
    </xf>
    <xf numFmtId="0" fontId="3" fillId="4" borderId="12" xfId="2" applyFont="1" applyFill="1" applyBorder="1" applyAlignment="1">
      <alignment horizontal="center" vertical="top"/>
    </xf>
    <xf numFmtId="0" fontId="3" fillId="0" borderId="14" xfId="5" applyFont="1" applyBorder="1" applyAlignment="1">
      <alignment horizontal="left" vertical="top" wrapText="1"/>
    </xf>
    <xf numFmtId="0" fontId="3" fillId="0" borderId="2" xfId="5" applyFont="1" applyBorder="1" applyAlignment="1">
      <alignment horizontal="left" vertical="top"/>
    </xf>
    <xf numFmtId="0" fontId="3" fillId="0" borderId="12" xfId="5" applyFont="1" applyBorder="1" applyAlignment="1">
      <alignment horizontal="left" vertical="top"/>
    </xf>
    <xf numFmtId="0" fontId="3" fillId="0" borderId="14" xfId="5" applyFont="1" applyBorder="1" applyAlignment="1">
      <alignment horizontal="center" vertical="top"/>
    </xf>
    <xf numFmtId="0" fontId="3" fillId="0" borderId="2" xfId="5" applyFont="1" applyBorder="1" applyAlignment="1">
      <alignment horizontal="center" vertical="top"/>
    </xf>
    <xf numFmtId="0" fontId="3" fillId="0" borderId="12" xfId="5" applyFont="1" applyBorder="1" applyAlignment="1">
      <alignment horizontal="center" vertical="top"/>
    </xf>
    <xf numFmtId="0" fontId="3" fillId="0" borderId="14" xfId="5" applyFont="1" applyBorder="1" applyAlignment="1">
      <alignment horizontal="left" vertical="top"/>
    </xf>
    <xf numFmtId="0" fontId="3" fillId="4" borderId="14" xfId="5" applyFont="1" applyFill="1" applyBorder="1" applyAlignment="1">
      <alignment horizontal="center"/>
    </xf>
    <xf numFmtId="0" fontId="3" fillId="4" borderId="2" xfId="5" applyFont="1" applyFill="1" applyBorder="1" applyAlignment="1">
      <alignment horizontal="center"/>
    </xf>
    <xf numFmtId="0" fontId="3" fillId="4" borderId="12" xfId="5" applyFont="1" applyFill="1" applyBorder="1" applyAlignment="1">
      <alignment horizontal="center"/>
    </xf>
    <xf numFmtId="49" fontId="3" fillId="0" borderId="14" xfId="5" applyNumberFormat="1" applyFont="1" applyBorder="1" applyAlignment="1">
      <alignment horizontal="center" vertical="top"/>
    </xf>
    <xf numFmtId="49" fontId="3" fillId="0" borderId="2" xfId="5" applyNumberFormat="1" applyFont="1" applyBorder="1" applyAlignment="1">
      <alignment horizontal="center" vertical="top"/>
    </xf>
    <xf numFmtId="49" fontId="3" fillId="0" borderId="12" xfId="5" applyNumberFormat="1" applyFont="1" applyBorder="1" applyAlignment="1">
      <alignment horizontal="center" vertical="top"/>
    </xf>
    <xf numFmtId="177" fontId="3" fillId="0" borderId="14" xfId="5" applyNumberFormat="1" applyFont="1" applyBorder="1" applyAlignment="1">
      <alignment horizontal="center" vertical="top"/>
    </xf>
    <xf numFmtId="177" fontId="3" fillId="0" borderId="2" xfId="5" applyNumberFormat="1" applyFont="1" applyBorder="1" applyAlignment="1">
      <alignment horizontal="center" vertical="top"/>
    </xf>
    <xf numFmtId="177" fontId="3" fillId="0" borderId="12" xfId="5" applyNumberFormat="1" applyFont="1" applyBorder="1" applyAlignment="1">
      <alignment horizontal="center" vertical="top"/>
    </xf>
    <xf numFmtId="0" fontId="3" fillId="0" borderId="17" xfId="2" applyFont="1" applyBorder="1" applyAlignment="1">
      <alignment horizontal="left" vertical="center"/>
    </xf>
    <xf numFmtId="0" fontId="3" fillId="0" borderId="18" xfId="2" applyFont="1" applyBorder="1" applyAlignment="1">
      <alignment horizontal="left" vertical="center"/>
    </xf>
    <xf numFmtId="0" fontId="3" fillId="0" borderId="19" xfId="2" applyFont="1" applyBorder="1" applyAlignment="1">
      <alignment horizontal="left" vertical="center"/>
    </xf>
    <xf numFmtId="0" fontId="3" fillId="0" borderId="20" xfId="2" applyFont="1" applyBorder="1" applyAlignment="1">
      <alignment horizontal="left" vertical="center"/>
    </xf>
    <xf numFmtId="0" fontId="3" fillId="0" borderId="21" xfId="2" applyFont="1" applyBorder="1" applyAlignment="1">
      <alignment horizontal="left" vertical="center"/>
    </xf>
    <xf numFmtId="0" fontId="3" fillId="0" borderId="22" xfId="2" applyFont="1" applyBorder="1" applyAlignment="1">
      <alignment horizontal="left" vertical="center"/>
    </xf>
    <xf numFmtId="0" fontId="3" fillId="0" borderId="17" xfId="2" applyFont="1" applyBorder="1" applyAlignment="1">
      <alignment horizontal="center" vertical="center"/>
    </xf>
    <xf numFmtId="0" fontId="3" fillId="0" borderId="19" xfId="2" applyFont="1" applyBorder="1" applyAlignment="1">
      <alignment horizontal="center" vertical="center"/>
    </xf>
    <xf numFmtId="0" fontId="3" fillId="0" borderId="20" xfId="2" applyFont="1" applyBorder="1" applyAlignment="1">
      <alignment horizontal="center" vertical="center"/>
    </xf>
    <xf numFmtId="0" fontId="3" fillId="0" borderId="22" xfId="2" applyFont="1" applyBorder="1" applyAlignment="1">
      <alignment horizontal="center" vertical="center"/>
    </xf>
    <xf numFmtId="0" fontId="3" fillId="0" borderId="17" xfId="2" applyFont="1" applyBorder="1" applyAlignment="1">
      <alignment horizontal="left" vertical="center" wrapText="1"/>
    </xf>
    <xf numFmtId="0" fontId="3" fillId="0" borderId="17" xfId="2" applyFont="1" applyBorder="1" applyAlignment="1">
      <alignment horizontal="center" vertical="center" wrapText="1"/>
    </xf>
    <xf numFmtId="0" fontId="3" fillId="0" borderId="19" xfId="2" applyFont="1" applyBorder="1" applyAlignment="1">
      <alignment horizontal="center" vertical="center" wrapText="1"/>
    </xf>
    <xf numFmtId="0" fontId="3" fillId="0" borderId="20" xfId="2" applyFont="1" applyBorder="1" applyAlignment="1">
      <alignment horizontal="center" vertical="center" wrapText="1"/>
    </xf>
    <xf numFmtId="0" fontId="3" fillId="0" borderId="22" xfId="2" applyFont="1" applyBorder="1" applyAlignment="1">
      <alignment horizontal="center" vertical="center" wrapText="1"/>
    </xf>
    <xf numFmtId="0" fontId="3" fillId="0" borderId="14" xfId="5" applyFont="1" applyBorder="1" applyAlignment="1">
      <alignment horizontal="center" vertical="center"/>
    </xf>
    <xf numFmtId="0" fontId="3" fillId="0" borderId="2" xfId="5" applyFont="1" applyBorder="1" applyAlignment="1">
      <alignment horizontal="center" vertical="center"/>
    </xf>
    <xf numFmtId="0" fontId="3" fillId="0" borderId="12" xfId="5" applyFont="1" applyBorder="1" applyAlignment="1">
      <alignment horizontal="center" vertical="center"/>
    </xf>
    <xf numFmtId="0" fontId="3" fillId="0" borderId="14" xfId="2" applyFont="1" applyBorder="1" applyAlignment="1">
      <alignment horizontal="center" vertical="top"/>
    </xf>
    <xf numFmtId="0" fontId="3" fillId="0" borderId="2" xfId="2" applyFont="1" applyBorder="1" applyAlignment="1">
      <alignment horizontal="center" vertical="top"/>
    </xf>
    <xf numFmtId="0" fontId="3" fillId="0" borderId="12" xfId="2" applyFont="1" applyBorder="1" applyAlignment="1">
      <alignment horizontal="center" vertical="top"/>
    </xf>
    <xf numFmtId="49" fontId="3" fillId="0" borderId="14" xfId="2" applyNumberFormat="1" applyFont="1" applyBorder="1" applyAlignment="1">
      <alignment horizontal="center" vertical="top"/>
    </xf>
    <xf numFmtId="49" fontId="3" fillId="0" borderId="2" xfId="2" applyNumberFormat="1" applyFont="1" applyBorder="1" applyAlignment="1">
      <alignment horizontal="center" vertical="top"/>
    </xf>
    <xf numFmtId="49" fontId="3" fillId="0" borderId="12" xfId="2" applyNumberFormat="1" applyFont="1" applyBorder="1" applyAlignment="1">
      <alignment horizontal="center" vertical="top"/>
    </xf>
    <xf numFmtId="0" fontId="3" fillId="0" borderId="14" xfId="2" applyFont="1" applyBorder="1" applyAlignment="1">
      <alignment horizontal="left" vertical="top" wrapText="1"/>
    </xf>
    <xf numFmtId="0" fontId="3" fillId="0" borderId="2" xfId="2" applyFont="1" applyBorder="1" applyAlignment="1">
      <alignment horizontal="left" vertical="top" wrapText="1"/>
    </xf>
    <xf numFmtId="0" fontId="3" fillId="0" borderId="12" xfId="2" applyFont="1" applyBorder="1" applyAlignment="1">
      <alignment horizontal="left" vertical="top" wrapText="1"/>
    </xf>
    <xf numFmtId="0" fontId="3" fillId="0" borderId="2" xfId="5" applyFont="1" applyBorder="1" applyAlignment="1">
      <alignment horizontal="left" vertical="top" wrapText="1"/>
    </xf>
    <xf numFmtId="0" fontId="3" fillId="0" borderId="12" xfId="5" applyFont="1" applyBorder="1" applyAlignment="1">
      <alignment horizontal="left" vertical="top" wrapText="1"/>
    </xf>
    <xf numFmtId="0" fontId="15" fillId="6" borderId="9" xfId="0" applyFont="1" applyFill="1" applyBorder="1" applyAlignment="1">
      <alignment horizontal="center" vertical="center" wrapText="1"/>
    </xf>
    <xf numFmtId="0" fontId="15" fillId="6" borderId="10" xfId="0" applyFont="1" applyFill="1" applyBorder="1" applyAlignment="1">
      <alignment horizontal="center" vertical="center" wrapText="1"/>
    </xf>
    <xf numFmtId="0" fontId="13" fillId="4" borderId="32" xfId="2" applyFont="1" applyFill="1" applyBorder="1" applyAlignment="1">
      <alignment horizontal="center" vertical="center"/>
    </xf>
    <xf numFmtId="0" fontId="13" fillId="4" borderId="33" xfId="2" applyFont="1" applyFill="1" applyBorder="1" applyAlignment="1">
      <alignment horizontal="center" vertical="center"/>
    </xf>
    <xf numFmtId="0" fontId="13" fillId="4" borderId="12" xfId="2" applyFont="1" applyFill="1" applyBorder="1" applyAlignment="1">
      <alignment horizontal="center" vertical="center"/>
    </xf>
    <xf numFmtId="0" fontId="13" fillId="4" borderId="6" xfId="2" applyFont="1" applyFill="1" applyBorder="1" applyAlignment="1">
      <alignment horizontal="center" vertical="center"/>
    </xf>
    <xf numFmtId="0" fontId="13" fillId="2" borderId="6" xfId="2" applyFont="1" applyFill="1" applyBorder="1" applyAlignment="1">
      <alignment horizontal="center" vertical="center"/>
    </xf>
    <xf numFmtId="0" fontId="13" fillId="2" borderId="9" xfId="2" applyFont="1" applyFill="1" applyBorder="1" applyAlignment="1">
      <alignment horizontal="center" vertical="center"/>
    </xf>
    <xf numFmtId="0" fontId="13" fillId="4" borderId="34" xfId="2" applyFont="1" applyFill="1" applyBorder="1" applyAlignment="1">
      <alignment horizontal="center" vertical="center"/>
    </xf>
    <xf numFmtId="49" fontId="13" fillId="0" borderId="34" xfId="2" applyNumberFormat="1" applyFont="1" applyBorder="1" applyAlignment="1" applyProtection="1">
      <alignment horizontal="center" vertical="center"/>
      <protection locked="0"/>
    </xf>
    <xf numFmtId="14" fontId="13" fillId="0" borderId="34" xfId="2" applyNumberFormat="1" applyFont="1" applyBorder="1" applyAlignment="1" applyProtection="1">
      <alignment horizontal="center" vertical="center"/>
      <protection locked="0"/>
    </xf>
    <xf numFmtId="0" fontId="13" fillId="0" borderId="34" xfId="2" applyFont="1" applyBorder="1" applyAlignment="1" applyProtection="1">
      <alignment horizontal="center" vertical="center"/>
      <protection locked="0"/>
    </xf>
    <xf numFmtId="0" fontId="13" fillId="4" borderId="31" xfId="2" applyFont="1" applyFill="1" applyBorder="1" applyAlignment="1">
      <alignment horizontal="center" vertical="center"/>
    </xf>
    <xf numFmtId="0" fontId="13" fillId="2" borderId="32" xfId="2" applyFont="1" applyFill="1" applyBorder="1" applyAlignment="1">
      <alignment horizontal="center" vertical="center"/>
    </xf>
    <xf numFmtId="0" fontId="13" fillId="0" borderId="38" xfId="2" applyFont="1" applyBorder="1" applyAlignment="1" applyProtection="1">
      <alignment horizontal="left" vertical="center"/>
      <protection locked="0"/>
    </xf>
    <xf numFmtId="0" fontId="13" fillId="4" borderId="41" xfId="2" applyFont="1" applyFill="1" applyBorder="1" applyAlignment="1">
      <alignment horizontal="center" vertical="center"/>
    </xf>
    <xf numFmtId="0" fontId="13" fillId="4" borderId="40" xfId="2" applyFont="1" applyFill="1" applyBorder="1" applyAlignment="1">
      <alignment horizontal="center" vertical="center"/>
    </xf>
    <xf numFmtId="49" fontId="13" fillId="0" borderId="40" xfId="2" applyNumberFormat="1" applyFont="1" applyBorder="1" applyAlignment="1" applyProtection="1">
      <alignment horizontal="center" vertical="center"/>
      <protection locked="0"/>
    </xf>
    <xf numFmtId="14" fontId="13" fillId="0" borderId="40" xfId="2" applyNumberFormat="1" applyFont="1" applyBorder="1" applyAlignment="1" applyProtection="1">
      <alignment horizontal="left" vertical="center" indent="1"/>
      <protection locked="0"/>
    </xf>
    <xf numFmtId="0" fontId="13" fillId="0" borderId="40" xfId="2" applyFont="1" applyBorder="1" applyAlignment="1" applyProtection="1">
      <alignment horizontal="left" vertical="center" indent="1"/>
      <protection locked="0"/>
    </xf>
    <xf numFmtId="0" fontId="13" fillId="0" borderId="40" xfId="2" applyFont="1" applyBorder="1" applyAlignment="1" applyProtection="1">
      <alignment horizontal="left" vertical="center"/>
      <protection locked="0"/>
    </xf>
    <xf numFmtId="0" fontId="14" fillId="0" borderId="23" xfId="2" applyFont="1" applyBorder="1" applyAlignment="1">
      <alignment horizontal="center" vertical="center"/>
    </xf>
    <xf numFmtId="0" fontId="14" fillId="0" borderId="24" xfId="2" applyFont="1" applyBorder="1" applyAlignment="1">
      <alignment horizontal="center" vertical="center"/>
    </xf>
    <xf numFmtId="0" fontId="14" fillId="0" borderId="25" xfId="2" applyFont="1" applyBorder="1" applyAlignment="1">
      <alignment horizontal="center" vertical="center"/>
    </xf>
    <xf numFmtId="0" fontId="14" fillId="0" borderId="26" xfId="2" applyFont="1" applyBorder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14" fillId="0" borderId="27" xfId="2" applyFont="1" applyBorder="1" applyAlignment="1">
      <alignment horizontal="center" vertical="center"/>
    </xf>
    <xf numFmtId="0" fontId="14" fillId="0" borderId="28" xfId="2" applyFont="1" applyBorder="1" applyAlignment="1">
      <alignment horizontal="center" vertical="center"/>
    </xf>
    <xf numFmtId="0" fontId="14" fillId="0" borderId="29" xfId="2" applyFont="1" applyBorder="1" applyAlignment="1">
      <alignment horizontal="center" vertical="center"/>
    </xf>
    <xf numFmtId="0" fontId="14" fillId="0" borderId="30" xfId="2" applyFont="1" applyBorder="1" applyAlignment="1">
      <alignment horizontal="center" vertical="center"/>
    </xf>
    <xf numFmtId="0" fontId="13" fillId="4" borderId="42" xfId="2" applyFont="1" applyFill="1" applyBorder="1" applyAlignment="1">
      <alignment horizontal="center" vertical="center"/>
    </xf>
    <xf numFmtId="0" fontId="13" fillId="4" borderId="43" xfId="2" applyFont="1" applyFill="1" applyBorder="1" applyAlignment="1">
      <alignment horizontal="center" vertical="center"/>
    </xf>
    <xf numFmtId="0" fontId="5" fillId="5" borderId="44" xfId="2" applyFont="1" applyFill="1" applyBorder="1" applyAlignment="1" applyProtection="1">
      <alignment vertical="center" shrinkToFit="1"/>
      <protection locked="0"/>
    </xf>
    <xf numFmtId="0" fontId="5" fillId="5" borderId="45" xfId="2" applyFont="1" applyFill="1" applyBorder="1" applyAlignment="1" applyProtection="1">
      <alignment vertical="center" shrinkToFit="1"/>
      <protection locked="0"/>
    </xf>
    <xf numFmtId="0" fontId="5" fillId="5" borderId="46" xfId="2" applyFont="1" applyFill="1" applyBorder="1" applyAlignment="1" applyProtection="1">
      <alignment vertical="center" shrinkToFit="1"/>
      <protection locked="0"/>
    </xf>
    <xf numFmtId="0" fontId="13" fillId="4" borderId="47" xfId="2" applyFont="1" applyFill="1" applyBorder="1" applyAlignment="1">
      <alignment horizontal="center" vertical="center"/>
    </xf>
    <xf numFmtId="0" fontId="5" fillId="5" borderId="44" xfId="2" applyFont="1" applyFill="1" applyBorder="1" applyAlignment="1" applyProtection="1">
      <alignment vertical="center"/>
      <protection locked="0"/>
    </xf>
    <xf numFmtId="0" fontId="5" fillId="5" borderId="45" xfId="2" applyFont="1" applyFill="1" applyBorder="1" applyAlignment="1" applyProtection="1">
      <alignment vertical="center"/>
      <protection locked="0"/>
    </xf>
    <xf numFmtId="0" fontId="5" fillId="5" borderId="46" xfId="2" applyFont="1" applyFill="1" applyBorder="1" applyAlignment="1" applyProtection="1">
      <alignment vertical="center"/>
      <protection locked="0"/>
    </xf>
    <xf numFmtId="0" fontId="17" fillId="0" borderId="6" xfId="2" applyFont="1" applyBorder="1" applyAlignment="1" applyProtection="1">
      <alignment horizontal="center" vertical="center"/>
      <protection locked="0"/>
    </xf>
    <xf numFmtId="0" fontId="17" fillId="0" borderId="35" xfId="2" applyFont="1" applyBorder="1" applyAlignment="1" applyProtection="1">
      <alignment horizontal="center" vertical="center"/>
      <protection locked="0"/>
    </xf>
    <xf numFmtId="0" fontId="17" fillId="0" borderId="9" xfId="2" applyFont="1" applyBorder="1" applyAlignment="1" applyProtection="1">
      <alignment horizontal="center" vertical="center"/>
      <protection locked="0"/>
    </xf>
    <xf numFmtId="0" fontId="17" fillId="0" borderId="36" xfId="2" applyFont="1" applyBorder="1" applyAlignment="1" applyProtection="1">
      <alignment horizontal="center" vertical="center"/>
      <protection locked="0"/>
    </xf>
    <xf numFmtId="0" fontId="13" fillId="4" borderId="37" xfId="2" applyFont="1" applyFill="1" applyBorder="1" applyAlignment="1">
      <alignment horizontal="center" vertical="center"/>
    </xf>
    <xf numFmtId="0" fontId="13" fillId="4" borderId="38" xfId="2" applyFont="1" applyFill="1" applyBorder="1" applyAlignment="1">
      <alignment horizontal="center" vertical="center"/>
    </xf>
    <xf numFmtId="49" fontId="13" fillId="0" borderId="38" xfId="2" applyNumberFormat="1" applyFont="1" applyBorder="1" applyAlignment="1" applyProtection="1">
      <alignment horizontal="center" vertical="center"/>
      <protection locked="0"/>
    </xf>
    <xf numFmtId="14" fontId="13" fillId="0" borderId="38" xfId="2" applyNumberFormat="1" applyFont="1" applyBorder="1" applyAlignment="1" applyProtection="1">
      <alignment horizontal="center" vertical="center"/>
      <protection locked="0"/>
    </xf>
    <xf numFmtId="0" fontId="13" fillId="0" borderId="38" xfId="2" applyFont="1" applyBorder="1" applyAlignment="1" applyProtection="1">
      <alignment horizontal="center" vertical="center"/>
      <protection locked="0"/>
    </xf>
    <xf numFmtId="0" fontId="13" fillId="4" borderId="39" xfId="2" applyFont="1" applyFill="1" applyBorder="1" applyAlignment="1">
      <alignment horizontal="center" vertical="center"/>
    </xf>
    <xf numFmtId="14" fontId="13" fillId="0" borderId="38" xfId="2" applyNumberFormat="1" applyFont="1" applyBorder="1" applyAlignment="1" applyProtection="1">
      <alignment horizontal="left" vertical="center" indent="1"/>
      <protection locked="0"/>
    </xf>
    <xf numFmtId="0" fontId="13" fillId="0" borderId="38" xfId="2" applyFont="1" applyBorder="1" applyAlignment="1" applyProtection="1">
      <alignment horizontal="left" vertical="center" indent="1"/>
      <protection locked="0"/>
    </xf>
    <xf numFmtId="0" fontId="22" fillId="0" borderId="23" xfId="1" applyBorder="1" applyAlignment="1" applyProtection="1">
      <alignment horizontal="center" vertical="center" shrinkToFit="1"/>
    </xf>
    <xf numFmtId="0" fontId="22" fillId="0" borderId="24" xfId="1" applyBorder="1" applyAlignment="1" applyProtection="1">
      <alignment horizontal="center" vertical="center" shrinkToFit="1"/>
    </xf>
    <xf numFmtId="0" fontId="22" fillId="0" borderId="25" xfId="1" applyBorder="1" applyAlignment="1" applyProtection="1">
      <alignment horizontal="center" vertical="center" shrinkToFit="1"/>
    </xf>
    <xf numFmtId="0" fontId="22" fillId="0" borderId="26" xfId="1" applyBorder="1" applyAlignment="1" applyProtection="1">
      <alignment horizontal="center" vertical="center" shrinkToFit="1"/>
    </xf>
    <xf numFmtId="0" fontId="22" fillId="0" borderId="0" xfId="1" applyBorder="1" applyAlignment="1" applyProtection="1">
      <alignment horizontal="center" vertical="center" shrinkToFit="1"/>
    </xf>
    <xf numFmtId="0" fontId="22" fillId="0" borderId="27" xfId="1" applyBorder="1" applyAlignment="1" applyProtection="1">
      <alignment horizontal="center" vertical="center" shrinkToFit="1"/>
    </xf>
    <xf numFmtId="0" fontId="22" fillId="0" borderId="28" xfId="1" applyBorder="1" applyAlignment="1" applyProtection="1">
      <alignment horizontal="center" vertical="center" shrinkToFit="1"/>
    </xf>
    <xf numFmtId="0" fontId="22" fillId="0" borderId="29" xfId="1" applyBorder="1" applyAlignment="1" applyProtection="1">
      <alignment horizontal="center" vertical="center" shrinkToFit="1"/>
    </xf>
    <xf numFmtId="0" fontId="22" fillId="0" borderId="30" xfId="1" applyBorder="1" applyAlignment="1" applyProtection="1">
      <alignment horizontal="center" vertical="center" shrinkToFit="1"/>
    </xf>
    <xf numFmtId="0" fontId="13" fillId="4" borderId="48" xfId="2" applyFont="1" applyFill="1" applyBorder="1" applyAlignment="1">
      <alignment horizontal="center" vertical="center"/>
    </xf>
    <xf numFmtId="0" fontId="5" fillId="5" borderId="49" xfId="2" applyFont="1" applyFill="1" applyBorder="1" applyAlignment="1" applyProtection="1">
      <alignment vertical="center"/>
      <protection locked="0"/>
    </xf>
    <xf numFmtId="0" fontId="5" fillId="5" borderId="4" xfId="2" applyFont="1" applyFill="1" applyBorder="1" applyAlignment="1" applyProtection="1">
      <alignment vertical="center"/>
      <protection locked="0"/>
    </xf>
    <xf numFmtId="0" fontId="5" fillId="5" borderId="50" xfId="2" applyFont="1" applyFill="1" applyBorder="1" applyAlignment="1" applyProtection="1">
      <alignment vertical="center"/>
      <protection locked="0"/>
    </xf>
    <xf numFmtId="0" fontId="13" fillId="4" borderId="51" xfId="2" applyFont="1" applyFill="1" applyBorder="1" applyAlignment="1">
      <alignment horizontal="center" vertical="center"/>
    </xf>
    <xf numFmtId="0" fontId="13" fillId="4" borderId="52" xfId="2" applyFont="1" applyFill="1" applyBorder="1" applyAlignment="1">
      <alignment horizontal="center" vertical="center"/>
    </xf>
    <xf numFmtId="0" fontId="5" fillId="5" borderId="53" xfId="2" applyFont="1" applyFill="1" applyBorder="1" applyAlignment="1" applyProtection="1">
      <alignment vertical="center"/>
      <protection locked="0"/>
    </xf>
    <xf numFmtId="0" fontId="5" fillId="5" borderId="54" xfId="2" applyFont="1" applyFill="1" applyBorder="1" applyAlignment="1" applyProtection="1">
      <alignment vertical="center"/>
      <protection locked="0"/>
    </xf>
    <xf numFmtId="0" fontId="5" fillId="5" borderId="55" xfId="2" applyFont="1" applyFill="1" applyBorder="1" applyAlignment="1" applyProtection="1">
      <alignment vertical="center"/>
      <protection locked="0"/>
    </xf>
    <xf numFmtId="0" fontId="13" fillId="4" borderId="56" xfId="2" applyFont="1" applyFill="1" applyBorder="1" applyAlignment="1">
      <alignment horizontal="center" vertical="center"/>
    </xf>
    <xf numFmtId="0" fontId="3" fillId="3" borderId="6" xfId="2" applyFont="1" applyFill="1" applyBorder="1" applyAlignment="1">
      <alignment horizontal="center"/>
    </xf>
    <xf numFmtId="0" fontId="3" fillId="3" borderId="6" xfId="2" applyFont="1" applyFill="1" applyBorder="1" applyAlignment="1">
      <alignment horizontal="center" wrapText="1"/>
    </xf>
    <xf numFmtId="0" fontId="3" fillId="3" borderId="17" xfId="2" applyFont="1" applyFill="1" applyBorder="1" applyAlignment="1">
      <alignment horizontal="center"/>
    </xf>
    <xf numFmtId="0" fontId="3" fillId="3" borderId="18" xfId="2" applyFont="1" applyFill="1" applyBorder="1" applyAlignment="1">
      <alignment horizontal="center"/>
    </xf>
    <xf numFmtId="0" fontId="3" fillId="3" borderId="19" xfId="2" applyFont="1" applyFill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3" fillId="3" borderId="57" xfId="2" applyFont="1" applyFill="1" applyBorder="1" applyAlignment="1">
      <alignment horizontal="right" vertical="top"/>
    </xf>
    <xf numFmtId="0" fontId="3" fillId="3" borderId="37" xfId="2" applyFont="1" applyFill="1" applyBorder="1" applyAlignment="1">
      <alignment horizontal="right" vertical="top"/>
    </xf>
    <xf numFmtId="0" fontId="3" fillId="3" borderId="14" xfId="2" applyFont="1" applyFill="1" applyBorder="1" applyAlignment="1">
      <alignment vertical="top"/>
    </xf>
    <xf numFmtId="0" fontId="3" fillId="3" borderId="2" xfId="2" applyFont="1" applyFill="1" applyBorder="1" applyAlignment="1">
      <alignment vertical="top"/>
    </xf>
    <xf numFmtId="0" fontId="3" fillId="3" borderId="12" xfId="2" applyFont="1" applyFill="1" applyBorder="1" applyAlignment="1">
      <alignment vertical="top"/>
    </xf>
    <xf numFmtId="0" fontId="3" fillId="3" borderId="14" xfId="2" applyFont="1" applyFill="1" applyBorder="1" applyAlignment="1">
      <alignment horizontal="left" vertical="top"/>
    </xf>
    <xf numFmtId="0" fontId="3" fillId="3" borderId="2" xfId="2" applyFont="1" applyFill="1" applyBorder="1" applyAlignment="1">
      <alignment horizontal="left" vertical="top"/>
    </xf>
    <xf numFmtId="0" fontId="3" fillId="3" borderId="12" xfId="2" applyFont="1" applyFill="1" applyBorder="1" applyAlignment="1">
      <alignment horizontal="left" vertical="top"/>
    </xf>
    <xf numFmtId="0" fontId="3" fillId="3" borderId="58" xfId="2" applyFont="1" applyFill="1" applyBorder="1" applyAlignment="1">
      <alignment horizontal="right" vertical="top"/>
    </xf>
    <xf numFmtId="0" fontId="3" fillId="3" borderId="15" xfId="2" applyFont="1" applyFill="1" applyBorder="1" applyAlignment="1">
      <alignment horizontal="right" vertical="top"/>
    </xf>
    <xf numFmtId="0" fontId="3" fillId="3" borderId="58" xfId="2" applyFont="1" applyFill="1" applyBorder="1" applyAlignment="1">
      <alignment horizontal="center" vertical="top"/>
    </xf>
    <xf numFmtId="0" fontId="3" fillId="3" borderId="15" xfId="2" applyFont="1" applyFill="1" applyBorder="1" applyAlignment="1">
      <alignment horizontal="center" vertical="top"/>
    </xf>
    <xf numFmtId="0" fontId="3" fillId="3" borderId="7" xfId="2" applyFont="1" applyFill="1" applyBorder="1" applyAlignment="1">
      <alignment horizontal="right" vertical="top"/>
    </xf>
    <xf numFmtId="0" fontId="3" fillId="0" borderId="14" xfId="2" applyFont="1" applyBorder="1" applyAlignment="1">
      <alignment horizontal="right" vertical="top"/>
    </xf>
    <xf numFmtId="0" fontId="3" fillId="0" borderId="2" xfId="2" applyFont="1" applyBorder="1" applyAlignment="1">
      <alignment horizontal="right" vertical="top"/>
    </xf>
    <xf numFmtId="0" fontId="3" fillId="0" borderId="12" xfId="2" applyFont="1" applyBorder="1" applyAlignment="1">
      <alignment horizontal="right" vertical="top"/>
    </xf>
    <xf numFmtId="0" fontId="3" fillId="0" borderId="2" xfId="2" applyFont="1" applyBorder="1" applyAlignment="1">
      <alignment vertical="top"/>
    </xf>
    <xf numFmtId="0" fontId="3" fillId="0" borderId="12" xfId="2" applyFont="1" applyBorder="1" applyAlignment="1">
      <alignment vertical="top"/>
    </xf>
    <xf numFmtId="0" fontId="3" fillId="0" borderId="14" xfId="2" applyFont="1" applyBorder="1" applyAlignment="1">
      <alignment horizontal="left" vertical="top"/>
    </xf>
    <xf numFmtId="0" fontId="3" fillId="0" borderId="2" xfId="2" applyFont="1" applyBorder="1" applyAlignment="1">
      <alignment horizontal="left" vertical="top"/>
    </xf>
    <xf numFmtId="0" fontId="3" fillId="0" borderId="12" xfId="2" applyFont="1" applyBorder="1" applyAlignment="1">
      <alignment horizontal="left" vertical="top"/>
    </xf>
    <xf numFmtId="0" fontId="3" fillId="0" borderId="14" xfId="2" applyFont="1" applyBorder="1" applyAlignment="1">
      <alignment horizontal="right"/>
    </xf>
    <xf numFmtId="0" fontId="3" fillId="0" borderId="12" xfId="2" applyFont="1" applyBorder="1" applyAlignment="1">
      <alignment horizontal="right"/>
    </xf>
    <xf numFmtId="0" fontId="3" fillId="0" borderId="59" xfId="2" applyFont="1" applyBorder="1" applyAlignment="1">
      <alignment horizontal="center" vertical="top"/>
    </xf>
    <xf numFmtId="0" fontId="3" fillId="0" borderId="16" xfId="2" applyFont="1" applyBorder="1" applyAlignment="1">
      <alignment horizontal="center" vertical="top"/>
    </xf>
    <xf numFmtId="0" fontId="3" fillId="0" borderId="14" xfId="2" applyFont="1" applyBorder="1" applyAlignment="1">
      <alignment vertical="top"/>
    </xf>
    <xf numFmtId="0" fontId="3" fillId="0" borderId="59" xfId="2" applyFont="1" applyBorder="1" applyAlignment="1">
      <alignment horizontal="right" vertical="top"/>
    </xf>
    <xf numFmtId="0" fontId="3" fillId="0" borderId="16" xfId="2" applyFont="1" applyBorder="1" applyAlignment="1">
      <alignment horizontal="right" vertical="top"/>
    </xf>
    <xf numFmtId="0" fontId="3" fillId="0" borderId="8" xfId="2" applyFont="1" applyBorder="1" applyAlignment="1">
      <alignment horizontal="right" vertical="top"/>
    </xf>
    <xf numFmtId="0" fontId="3" fillId="0" borderId="57" xfId="2" applyFont="1" applyBorder="1" applyAlignment="1">
      <alignment horizontal="right" vertical="top"/>
    </xf>
    <xf numFmtId="0" fontId="3" fillId="0" borderId="37" xfId="2" applyFont="1" applyBorder="1" applyAlignment="1">
      <alignment horizontal="right" vertical="top"/>
    </xf>
    <xf numFmtId="0" fontId="3" fillId="0" borderId="58" xfId="2" applyFont="1" applyBorder="1" applyAlignment="1">
      <alignment horizontal="right" vertical="top"/>
    </xf>
    <xf numFmtId="0" fontId="3" fillId="0" borderId="15" xfId="2" applyFont="1" applyBorder="1" applyAlignment="1">
      <alignment horizontal="right" vertical="top"/>
    </xf>
    <xf numFmtId="0" fontId="3" fillId="0" borderId="7" xfId="2" applyFont="1" applyBorder="1" applyAlignment="1">
      <alignment horizontal="right" vertical="top"/>
    </xf>
    <xf numFmtId="0" fontId="3" fillId="0" borderId="58" xfId="2" applyFont="1" applyBorder="1" applyAlignment="1">
      <alignment horizontal="center" vertical="top"/>
    </xf>
    <xf numFmtId="0" fontId="3" fillId="0" borderId="15" xfId="2" applyFont="1" applyBorder="1" applyAlignment="1">
      <alignment horizontal="center" vertical="top"/>
    </xf>
    <xf numFmtId="0" fontId="3" fillId="0" borderId="59" xfId="2" applyFont="1" applyBorder="1" applyAlignment="1">
      <alignment horizontal="right"/>
    </xf>
    <xf numFmtId="0" fontId="3" fillId="0" borderId="16" xfId="2" applyFont="1" applyBorder="1" applyAlignment="1">
      <alignment horizontal="right"/>
    </xf>
    <xf numFmtId="0" fontId="3" fillId="0" borderId="59" xfId="2" applyFont="1" applyBorder="1" applyAlignment="1">
      <alignment horizontal="center"/>
    </xf>
    <xf numFmtId="0" fontId="3" fillId="0" borderId="16" xfId="2" applyFont="1" applyBorder="1" applyAlignment="1">
      <alignment horizontal="center"/>
    </xf>
    <xf numFmtId="0" fontId="3" fillId="0" borderId="8" xfId="2" applyFont="1" applyBorder="1" applyAlignment="1">
      <alignment horizontal="right"/>
    </xf>
    <xf numFmtId="0" fontId="3" fillId="0" borderId="2" xfId="2" applyFont="1" applyBorder="1"/>
    <xf numFmtId="0" fontId="3" fillId="0" borderId="12" xfId="2" applyFont="1" applyBorder="1"/>
    <xf numFmtId="0" fontId="3" fillId="0" borderId="14" xfId="2" applyFont="1" applyBorder="1" applyAlignment="1">
      <alignment horizontal="center"/>
    </xf>
    <xf numFmtId="0" fontId="3" fillId="0" borderId="12" xfId="2" applyFont="1" applyBorder="1" applyAlignment="1">
      <alignment horizontal="center"/>
    </xf>
    <xf numFmtId="0" fontId="3" fillId="0" borderId="2" xfId="2" applyFont="1" applyBorder="1" applyAlignment="1">
      <alignment horizontal="right"/>
    </xf>
    <xf numFmtId="0" fontId="3" fillId="0" borderId="14" xfId="2" applyFont="1" applyBorder="1"/>
  </cellXfs>
  <cellStyles count="7">
    <cellStyle name="ハイパーリンク" xfId="1" builtinId="8"/>
    <cellStyle name="標準" xfId="0" builtinId="0"/>
    <cellStyle name="標準 2" xfId="2" xr:uid="{00000000-0005-0000-0000-000002000000}"/>
    <cellStyle name="標準_Sheet1" xfId="3" xr:uid="{00000000-0005-0000-0000-000003000000}"/>
    <cellStyle name="標準_コピー ～ 種別マスタ項目_詳細設計書_Ver1" xfId="4" xr:uid="{00000000-0005-0000-0000-000004000000}"/>
    <cellStyle name="標準_システム管理" xfId="5" xr:uid="{00000000-0005-0000-0000-000005000000}"/>
    <cellStyle name="標準_種別マスタ" xfId="6" xr:uid="{00000000-0005-0000-0000-000006000000}"/>
  </cellStyles>
  <dxfs count="2">
    <dxf>
      <font>
        <b/>
        <i val="0"/>
        <color rgb="FFFF0000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5"/>
  <dimension ref="A1:FT47"/>
  <sheetViews>
    <sheetView showGridLines="0" tabSelected="1" view="pageBreakPreview" zoomScaleNormal="100" zoomScaleSheetLayoutView="100" workbookViewId="0">
      <selection activeCell="B46" sqref="B46:E46"/>
    </sheetView>
  </sheetViews>
  <sheetFormatPr defaultRowHeight="12.75" customHeight="1"/>
  <cols>
    <col min="1" max="4" width="5.5" style="7" customWidth="1"/>
    <col min="5" max="6" width="5.5" style="20" customWidth="1"/>
    <col min="7" max="32" width="5.5" style="7" customWidth="1"/>
    <col min="33" max="36" width="5.33203125" style="7" customWidth="1"/>
    <col min="37" max="16384" width="9.33203125" style="7"/>
  </cols>
  <sheetData>
    <row r="1" spans="1:176" s="18" customFormat="1" ht="12.75" customHeight="1">
      <c r="A1" s="12"/>
      <c r="B1" s="12"/>
      <c r="C1" s="12"/>
      <c r="D1" s="12"/>
      <c r="E1" s="12"/>
      <c r="F1" s="12"/>
      <c r="G1" s="12"/>
      <c r="H1" s="12"/>
      <c r="I1" s="12"/>
      <c r="J1" s="13"/>
      <c r="K1" s="14"/>
      <c r="L1" s="14"/>
      <c r="M1" s="14"/>
      <c r="N1" s="14"/>
      <c r="O1" s="15"/>
      <c r="P1" s="13"/>
      <c r="Q1" s="13"/>
      <c r="R1" s="13"/>
      <c r="S1" s="14"/>
      <c r="T1" s="14"/>
      <c r="U1" s="14"/>
      <c r="V1" s="13"/>
      <c r="W1" s="13"/>
      <c r="X1" s="13"/>
      <c r="Y1" s="13"/>
      <c r="Z1" s="13"/>
      <c r="AA1" s="14"/>
      <c r="AB1" s="14"/>
      <c r="AC1" s="14"/>
      <c r="AD1" s="14"/>
      <c r="AE1" s="14"/>
      <c r="AF1" s="14"/>
      <c r="AG1" s="16"/>
      <c r="AH1" s="17"/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7"/>
      <c r="AT1" s="17"/>
      <c r="AU1" s="17"/>
      <c r="AV1" s="17"/>
      <c r="AW1" s="17"/>
      <c r="AX1" s="17"/>
      <c r="AY1" s="17"/>
      <c r="AZ1" s="17"/>
      <c r="BA1" s="17"/>
      <c r="BB1" s="17"/>
      <c r="BC1" s="17"/>
      <c r="BD1" s="17"/>
      <c r="BE1" s="17"/>
      <c r="BF1" s="17"/>
      <c r="BG1" s="17"/>
      <c r="BH1" s="17"/>
      <c r="BI1" s="17"/>
      <c r="BJ1" s="17"/>
      <c r="BK1" s="17"/>
      <c r="BL1" s="17"/>
      <c r="BM1" s="17"/>
      <c r="BN1" s="17"/>
      <c r="BO1" s="17"/>
      <c r="BP1" s="17"/>
      <c r="BQ1" s="17"/>
      <c r="BR1" s="17"/>
      <c r="BS1" s="17"/>
      <c r="BT1" s="17"/>
      <c r="BU1" s="17"/>
      <c r="BV1" s="17"/>
      <c r="BW1" s="17"/>
      <c r="BX1" s="17"/>
      <c r="BY1" s="17"/>
      <c r="BZ1" s="17"/>
      <c r="CA1" s="17"/>
      <c r="CB1" s="17"/>
      <c r="CC1" s="17"/>
      <c r="CD1" s="17"/>
      <c r="CE1" s="17"/>
      <c r="CF1" s="17"/>
      <c r="CG1" s="17"/>
      <c r="CH1" s="17"/>
      <c r="CI1" s="17"/>
      <c r="CJ1" s="17"/>
      <c r="CK1" s="17"/>
      <c r="CL1" s="17"/>
      <c r="CM1" s="17"/>
      <c r="CN1" s="17"/>
      <c r="CO1" s="17"/>
      <c r="CP1" s="17"/>
      <c r="CQ1" s="17"/>
      <c r="CR1" s="17"/>
      <c r="CS1" s="17"/>
      <c r="CT1" s="17"/>
      <c r="CU1" s="17"/>
      <c r="CV1" s="17"/>
      <c r="CW1" s="17"/>
      <c r="CX1" s="17"/>
      <c r="CY1" s="17"/>
      <c r="CZ1" s="17"/>
      <c r="DA1" s="17"/>
      <c r="DB1" s="17"/>
      <c r="DC1" s="17"/>
      <c r="DD1" s="17"/>
      <c r="DE1" s="17"/>
      <c r="DF1" s="17"/>
      <c r="DG1" s="17"/>
      <c r="DH1" s="17"/>
      <c r="DI1" s="17"/>
      <c r="DJ1" s="17"/>
      <c r="DK1" s="17"/>
      <c r="DL1" s="17"/>
      <c r="DM1" s="17"/>
      <c r="DN1" s="17"/>
      <c r="DO1" s="17"/>
      <c r="DP1" s="17"/>
      <c r="DQ1" s="17"/>
      <c r="DR1" s="17"/>
      <c r="DS1" s="17"/>
      <c r="DT1" s="17"/>
      <c r="DU1" s="17"/>
      <c r="DV1" s="17"/>
      <c r="DW1" s="17"/>
      <c r="DX1" s="17"/>
      <c r="DY1" s="17"/>
      <c r="DZ1" s="17"/>
      <c r="EA1" s="17"/>
      <c r="EB1" s="17"/>
      <c r="EC1" s="17"/>
      <c r="ED1" s="17"/>
      <c r="EE1" s="17"/>
      <c r="EF1" s="17"/>
      <c r="EG1" s="17"/>
      <c r="EH1" s="17"/>
      <c r="EI1" s="17"/>
      <c r="EJ1" s="17"/>
      <c r="EK1" s="17"/>
      <c r="EL1" s="17"/>
      <c r="EM1" s="17"/>
      <c r="EN1" s="17"/>
      <c r="EO1" s="17"/>
      <c r="EP1" s="17"/>
      <c r="EQ1" s="17"/>
      <c r="ER1" s="17"/>
      <c r="ES1" s="17"/>
      <c r="ET1" s="17"/>
      <c r="EU1" s="17"/>
      <c r="EV1" s="17"/>
      <c r="EW1" s="17"/>
      <c r="EX1" s="17"/>
      <c r="EY1" s="17"/>
      <c r="EZ1" s="17"/>
      <c r="FA1" s="17"/>
      <c r="FB1" s="17"/>
      <c r="FC1" s="17"/>
      <c r="FD1" s="17"/>
      <c r="FE1" s="17"/>
      <c r="FF1" s="17"/>
      <c r="FG1" s="17"/>
      <c r="FH1" s="17"/>
      <c r="FI1" s="17"/>
      <c r="FJ1" s="17"/>
      <c r="FK1" s="17"/>
      <c r="FL1" s="17"/>
      <c r="FM1" s="17"/>
      <c r="FN1" s="17"/>
      <c r="FO1" s="17"/>
      <c r="FP1" s="17"/>
      <c r="FQ1" s="17"/>
      <c r="FR1" s="17"/>
      <c r="FS1" s="17"/>
      <c r="FT1" s="17"/>
    </row>
    <row r="2" spans="1:176" ht="12.75" customHeight="1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</row>
    <row r="3" spans="1:176" ht="12.75" customHeight="1">
      <c r="A3" s="16"/>
      <c r="B3" s="62" t="s">
        <v>81</v>
      </c>
      <c r="C3" s="62"/>
      <c r="D3" s="62"/>
      <c r="E3" s="62"/>
      <c r="F3" s="62"/>
      <c r="G3" s="62"/>
      <c r="H3" s="62"/>
      <c r="I3" s="62"/>
      <c r="J3" s="62"/>
      <c r="K3" s="62"/>
      <c r="L3" s="62"/>
      <c r="M3" s="62"/>
      <c r="N3" s="62"/>
      <c r="O3" s="62"/>
      <c r="P3" s="62"/>
      <c r="Q3" s="62"/>
      <c r="R3" s="62"/>
      <c r="S3" s="62"/>
      <c r="T3" s="62"/>
      <c r="U3" s="62"/>
      <c r="V3" s="62"/>
      <c r="W3" s="62"/>
      <c r="X3" s="62"/>
      <c r="Y3" s="62"/>
      <c r="Z3" s="62"/>
      <c r="AA3" s="62"/>
      <c r="AB3" s="62"/>
      <c r="AC3" s="62"/>
      <c r="AD3" s="62"/>
      <c r="AE3" s="62"/>
      <c r="AF3" s="16"/>
    </row>
    <row r="4" spans="1:176" ht="12.75" customHeight="1">
      <c r="A4" s="16"/>
      <c r="B4" s="62"/>
      <c r="C4" s="62"/>
      <c r="D4" s="62"/>
      <c r="E4" s="62"/>
      <c r="F4" s="62"/>
      <c r="G4" s="62"/>
      <c r="H4" s="62"/>
      <c r="I4" s="62"/>
      <c r="J4" s="62"/>
      <c r="K4" s="62"/>
      <c r="L4" s="62"/>
      <c r="M4" s="62"/>
      <c r="N4" s="62"/>
      <c r="O4" s="62"/>
      <c r="P4" s="62"/>
      <c r="Q4" s="62"/>
      <c r="R4" s="62"/>
      <c r="S4" s="62"/>
      <c r="T4" s="62"/>
      <c r="U4" s="62"/>
      <c r="V4" s="62"/>
      <c r="W4" s="62"/>
      <c r="X4" s="62"/>
      <c r="Y4" s="62"/>
      <c r="Z4" s="62"/>
      <c r="AA4" s="62"/>
      <c r="AB4" s="62"/>
      <c r="AC4" s="62"/>
      <c r="AD4" s="62"/>
      <c r="AE4" s="62"/>
      <c r="AF4" s="16"/>
    </row>
    <row r="5" spans="1:176" ht="12.75" customHeight="1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6"/>
      <c r="AF5" s="16"/>
    </row>
    <row r="6" spans="1:176" ht="12.75" customHeight="1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  <c r="AF6" s="16"/>
    </row>
    <row r="7" spans="1:176" ht="12">
      <c r="A7" s="16"/>
      <c r="B7" s="63" t="s">
        <v>56</v>
      </c>
      <c r="C7" s="64"/>
      <c r="D7" s="64"/>
      <c r="E7" s="64"/>
      <c r="F7" s="64"/>
      <c r="G7" s="64"/>
      <c r="H7" s="64"/>
      <c r="I7" s="64"/>
      <c r="J7" s="64"/>
      <c r="K7" s="64"/>
      <c r="L7" s="65"/>
      <c r="M7" s="63" t="s">
        <v>57</v>
      </c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64"/>
      <c r="Z7" s="64"/>
      <c r="AA7" s="65"/>
      <c r="AB7" s="63" t="s">
        <v>49</v>
      </c>
      <c r="AC7" s="65"/>
      <c r="AD7" s="63" t="s">
        <v>50</v>
      </c>
      <c r="AE7" s="65"/>
    </row>
    <row r="8" spans="1:176" ht="12">
      <c r="A8" s="16"/>
      <c r="B8" s="82"/>
      <c r="C8" s="83"/>
      <c r="D8" s="83"/>
      <c r="E8" s="83"/>
      <c r="F8" s="83"/>
      <c r="G8" s="83"/>
      <c r="H8" s="83"/>
      <c r="I8" s="83"/>
      <c r="J8" s="83"/>
      <c r="K8" s="83"/>
      <c r="L8" s="84"/>
      <c r="M8" s="92"/>
      <c r="N8" s="83"/>
      <c r="O8" s="83"/>
      <c r="P8" s="83"/>
      <c r="Q8" s="83"/>
      <c r="R8" s="83"/>
      <c r="S8" s="83"/>
      <c r="T8" s="83"/>
      <c r="U8" s="83"/>
      <c r="V8" s="83"/>
      <c r="W8" s="83"/>
      <c r="X8" s="83"/>
      <c r="Y8" s="83"/>
      <c r="Z8" s="83"/>
      <c r="AA8" s="84"/>
      <c r="AB8" s="93" t="s">
        <v>77</v>
      </c>
      <c r="AC8" s="94"/>
      <c r="AD8" s="88" t="s">
        <v>78</v>
      </c>
      <c r="AE8" s="89"/>
    </row>
    <row r="9" spans="1:176" ht="12">
      <c r="A9" s="16"/>
      <c r="B9" s="85"/>
      <c r="C9" s="86"/>
      <c r="D9" s="86"/>
      <c r="E9" s="86"/>
      <c r="F9" s="86"/>
      <c r="G9" s="86"/>
      <c r="H9" s="86"/>
      <c r="I9" s="86"/>
      <c r="J9" s="86"/>
      <c r="K9" s="86"/>
      <c r="L9" s="87"/>
      <c r="M9" s="85"/>
      <c r="N9" s="86"/>
      <c r="O9" s="86"/>
      <c r="P9" s="86"/>
      <c r="Q9" s="86"/>
      <c r="R9" s="86"/>
      <c r="S9" s="86"/>
      <c r="T9" s="86"/>
      <c r="U9" s="86"/>
      <c r="V9" s="86"/>
      <c r="W9" s="86"/>
      <c r="X9" s="86"/>
      <c r="Y9" s="86"/>
      <c r="Z9" s="86"/>
      <c r="AA9" s="87"/>
      <c r="AB9" s="95"/>
      <c r="AC9" s="96"/>
      <c r="AD9" s="90"/>
      <c r="AE9" s="91"/>
    </row>
    <row r="10" spans="1:176" ht="12.75" customHeight="1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  <c r="AB10" s="16"/>
      <c r="AC10" s="16"/>
      <c r="AD10" s="16"/>
      <c r="AE10" s="16"/>
      <c r="AF10" s="16"/>
    </row>
    <row r="11" spans="1:176" ht="12.75" customHeight="1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  <c r="AB11" s="16"/>
      <c r="AC11" s="16"/>
      <c r="AD11" s="16"/>
      <c r="AE11" s="16"/>
      <c r="AF11" s="16"/>
    </row>
    <row r="12" spans="1:176" ht="12.75" customHeight="1">
      <c r="A12" s="16"/>
      <c r="B12" s="19" t="s">
        <v>51</v>
      </c>
      <c r="C12" s="16"/>
      <c r="D12" s="16" t="s">
        <v>58</v>
      </c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  <c r="AB12" s="16"/>
      <c r="AC12" s="16"/>
      <c r="AD12" s="16"/>
      <c r="AE12" s="16"/>
      <c r="AF12" s="16"/>
    </row>
    <row r="13" spans="1:176" ht="12.75" customHeight="1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A13" s="16"/>
      <c r="AB13" s="16"/>
      <c r="AC13" s="16"/>
      <c r="AD13" s="16"/>
      <c r="AE13" s="16"/>
      <c r="AF13" s="16"/>
    </row>
    <row r="14" spans="1:176" ht="12.75" customHeight="1">
      <c r="A14" s="16"/>
      <c r="B14" s="73" t="s">
        <v>52</v>
      </c>
      <c r="C14" s="74"/>
      <c r="D14" s="74"/>
      <c r="E14" s="75"/>
      <c r="F14" s="73" t="s">
        <v>53</v>
      </c>
      <c r="G14" s="74"/>
      <c r="H14" s="74"/>
      <c r="I14" s="75"/>
      <c r="J14" s="73" t="s">
        <v>54</v>
      </c>
      <c r="K14" s="74"/>
      <c r="L14" s="74"/>
      <c r="M14" s="74"/>
      <c r="N14" s="74"/>
      <c r="O14" s="74"/>
      <c r="P14" s="74"/>
      <c r="Q14" s="74"/>
      <c r="R14" s="74"/>
      <c r="S14" s="74"/>
      <c r="T14" s="74"/>
      <c r="U14" s="74"/>
      <c r="V14" s="74"/>
      <c r="W14" s="74"/>
      <c r="X14" s="74"/>
      <c r="Y14" s="74"/>
      <c r="Z14" s="74"/>
      <c r="AA14" s="74"/>
      <c r="AB14" s="75"/>
      <c r="AC14" s="73" t="s">
        <v>55</v>
      </c>
      <c r="AD14" s="74"/>
      <c r="AE14" s="75"/>
      <c r="AF14" s="16"/>
    </row>
    <row r="15" spans="1:176" s="29" customFormat="1" ht="12">
      <c r="A15" s="30"/>
      <c r="B15" s="76"/>
      <c r="C15" s="77"/>
      <c r="D15" s="77"/>
      <c r="E15" s="78"/>
      <c r="F15" s="79"/>
      <c r="G15" s="80"/>
      <c r="H15" s="80"/>
      <c r="I15" s="81"/>
      <c r="J15" s="72"/>
      <c r="K15" s="67"/>
      <c r="L15" s="67"/>
      <c r="M15" s="67"/>
      <c r="N15" s="67"/>
      <c r="O15" s="67"/>
      <c r="P15" s="67"/>
      <c r="Q15" s="67"/>
      <c r="R15" s="67"/>
      <c r="S15" s="67"/>
      <c r="T15" s="67"/>
      <c r="U15" s="67"/>
      <c r="V15" s="67"/>
      <c r="W15" s="67"/>
      <c r="X15" s="67"/>
      <c r="Y15" s="67"/>
      <c r="Z15" s="67"/>
      <c r="AA15" s="67"/>
      <c r="AB15" s="68"/>
      <c r="AC15" s="69"/>
      <c r="AD15" s="70"/>
      <c r="AE15" s="71"/>
      <c r="AF15" s="30"/>
    </row>
    <row r="16" spans="1:176" s="29" customFormat="1" ht="12">
      <c r="A16" s="30"/>
      <c r="B16" s="76"/>
      <c r="C16" s="77"/>
      <c r="D16" s="77"/>
      <c r="E16" s="78"/>
      <c r="F16" s="79"/>
      <c r="G16" s="80"/>
      <c r="H16" s="80"/>
      <c r="I16" s="81"/>
      <c r="J16" s="72"/>
      <c r="K16" s="67"/>
      <c r="L16" s="67"/>
      <c r="M16" s="67"/>
      <c r="N16" s="67"/>
      <c r="O16" s="67"/>
      <c r="P16" s="67"/>
      <c r="Q16" s="67"/>
      <c r="R16" s="67"/>
      <c r="S16" s="67"/>
      <c r="T16" s="67"/>
      <c r="U16" s="67"/>
      <c r="V16" s="67"/>
      <c r="W16" s="67"/>
      <c r="X16" s="67"/>
      <c r="Y16" s="67"/>
      <c r="Z16" s="67"/>
      <c r="AA16" s="67"/>
      <c r="AB16" s="68"/>
      <c r="AC16" s="69"/>
      <c r="AD16" s="70"/>
      <c r="AE16" s="71"/>
      <c r="AF16" s="30"/>
    </row>
    <row r="17" spans="1:32" s="29" customFormat="1" ht="12">
      <c r="A17" s="30"/>
      <c r="B17" s="76"/>
      <c r="C17" s="77"/>
      <c r="D17" s="77"/>
      <c r="E17" s="78"/>
      <c r="F17" s="79"/>
      <c r="G17" s="80"/>
      <c r="H17" s="80"/>
      <c r="I17" s="81"/>
      <c r="J17" s="72"/>
      <c r="K17" s="67"/>
      <c r="L17" s="67"/>
      <c r="M17" s="67"/>
      <c r="N17" s="67"/>
      <c r="O17" s="67"/>
      <c r="P17" s="67"/>
      <c r="Q17" s="67"/>
      <c r="R17" s="67"/>
      <c r="S17" s="67"/>
      <c r="T17" s="67"/>
      <c r="U17" s="67"/>
      <c r="V17" s="67"/>
      <c r="W17" s="67"/>
      <c r="X17" s="67"/>
      <c r="Y17" s="67"/>
      <c r="Z17" s="67"/>
      <c r="AA17" s="67"/>
      <c r="AB17" s="68"/>
      <c r="AC17" s="69"/>
      <c r="AD17" s="70"/>
      <c r="AE17" s="71"/>
      <c r="AF17" s="30"/>
    </row>
    <row r="18" spans="1:32" s="29" customFormat="1" ht="12">
      <c r="A18" s="30"/>
      <c r="B18" s="76"/>
      <c r="C18" s="77"/>
      <c r="D18" s="77"/>
      <c r="E18" s="78"/>
      <c r="F18" s="79"/>
      <c r="G18" s="80"/>
      <c r="H18" s="80"/>
      <c r="I18" s="81"/>
      <c r="J18" s="66"/>
      <c r="K18" s="67"/>
      <c r="L18" s="67"/>
      <c r="M18" s="67"/>
      <c r="N18" s="67"/>
      <c r="O18" s="67"/>
      <c r="P18" s="67"/>
      <c r="Q18" s="67"/>
      <c r="R18" s="67"/>
      <c r="S18" s="67"/>
      <c r="T18" s="67"/>
      <c r="U18" s="67"/>
      <c r="V18" s="67"/>
      <c r="W18" s="67"/>
      <c r="X18" s="67"/>
      <c r="Y18" s="67"/>
      <c r="Z18" s="67"/>
      <c r="AA18" s="67"/>
      <c r="AB18" s="68"/>
      <c r="AC18" s="69"/>
      <c r="AD18" s="70"/>
      <c r="AE18" s="71"/>
      <c r="AF18" s="30"/>
    </row>
    <row r="19" spans="1:32" s="29" customFormat="1" ht="12">
      <c r="A19" s="30"/>
      <c r="B19" s="76"/>
      <c r="C19" s="77"/>
      <c r="D19" s="77"/>
      <c r="E19" s="78"/>
      <c r="F19" s="79"/>
      <c r="G19" s="80"/>
      <c r="H19" s="80"/>
      <c r="I19" s="81"/>
      <c r="J19" s="66"/>
      <c r="K19" s="67"/>
      <c r="L19" s="67"/>
      <c r="M19" s="67"/>
      <c r="N19" s="67"/>
      <c r="O19" s="67"/>
      <c r="P19" s="67"/>
      <c r="Q19" s="67"/>
      <c r="R19" s="67"/>
      <c r="S19" s="67"/>
      <c r="T19" s="67"/>
      <c r="U19" s="67"/>
      <c r="V19" s="67"/>
      <c r="W19" s="67"/>
      <c r="X19" s="67"/>
      <c r="Y19" s="67"/>
      <c r="Z19" s="67"/>
      <c r="AA19" s="67"/>
      <c r="AB19" s="68"/>
      <c r="AC19" s="69"/>
      <c r="AD19" s="70"/>
      <c r="AE19" s="71"/>
      <c r="AF19" s="30"/>
    </row>
    <row r="20" spans="1:32" s="29" customFormat="1" ht="12">
      <c r="A20" s="30"/>
      <c r="B20" s="76"/>
      <c r="C20" s="77"/>
      <c r="D20" s="77"/>
      <c r="E20" s="78"/>
      <c r="F20" s="79"/>
      <c r="G20" s="80"/>
      <c r="H20" s="80"/>
      <c r="I20" s="81"/>
      <c r="J20" s="72"/>
      <c r="K20" s="67"/>
      <c r="L20" s="67"/>
      <c r="M20" s="67"/>
      <c r="N20" s="67"/>
      <c r="O20" s="67"/>
      <c r="P20" s="67"/>
      <c r="Q20" s="67"/>
      <c r="R20" s="67"/>
      <c r="S20" s="67"/>
      <c r="T20" s="67"/>
      <c r="U20" s="67"/>
      <c r="V20" s="67"/>
      <c r="W20" s="67"/>
      <c r="X20" s="67"/>
      <c r="Y20" s="67"/>
      <c r="Z20" s="67"/>
      <c r="AA20" s="67"/>
      <c r="AB20" s="68"/>
      <c r="AC20" s="69"/>
      <c r="AD20" s="70"/>
      <c r="AE20" s="71"/>
      <c r="AF20" s="30"/>
    </row>
    <row r="21" spans="1:32" s="29" customFormat="1" ht="12">
      <c r="A21" s="30"/>
      <c r="B21" s="76"/>
      <c r="C21" s="77"/>
      <c r="D21" s="77"/>
      <c r="E21" s="78"/>
      <c r="F21" s="79"/>
      <c r="G21" s="80"/>
      <c r="H21" s="80"/>
      <c r="I21" s="81"/>
      <c r="J21" s="66"/>
      <c r="K21" s="67"/>
      <c r="L21" s="67"/>
      <c r="M21" s="67"/>
      <c r="N21" s="67"/>
      <c r="O21" s="67"/>
      <c r="P21" s="67"/>
      <c r="Q21" s="67"/>
      <c r="R21" s="67"/>
      <c r="S21" s="67"/>
      <c r="T21" s="67"/>
      <c r="U21" s="67"/>
      <c r="V21" s="67"/>
      <c r="W21" s="67"/>
      <c r="X21" s="67"/>
      <c r="Y21" s="67"/>
      <c r="Z21" s="67"/>
      <c r="AA21" s="67"/>
      <c r="AB21" s="68"/>
      <c r="AC21" s="69"/>
      <c r="AD21" s="70"/>
      <c r="AE21" s="71"/>
      <c r="AF21" s="30"/>
    </row>
    <row r="22" spans="1:32" s="29" customFormat="1" ht="12">
      <c r="A22" s="30"/>
      <c r="B22" s="76"/>
      <c r="C22" s="77"/>
      <c r="D22" s="77"/>
      <c r="E22" s="78"/>
      <c r="F22" s="79"/>
      <c r="G22" s="80"/>
      <c r="H22" s="80"/>
      <c r="I22" s="81"/>
      <c r="J22" s="66"/>
      <c r="K22" s="67"/>
      <c r="L22" s="67"/>
      <c r="M22" s="67"/>
      <c r="N22" s="67"/>
      <c r="O22" s="67"/>
      <c r="P22" s="67"/>
      <c r="Q22" s="67"/>
      <c r="R22" s="67"/>
      <c r="S22" s="67"/>
      <c r="T22" s="67"/>
      <c r="U22" s="67"/>
      <c r="V22" s="67"/>
      <c r="W22" s="67"/>
      <c r="X22" s="67"/>
      <c r="Y22" s="67"/>
      <c r="Z22" s="67"/>
      <c r="AA22" s="67"/>
      <c r="AB22" s="68"/>
      <c r="AC22" s="69"/>
      <c r="AD22" s="70"/>
      <c r="AE22" s="71"/>
      <c r="AF22" s="30"/>
    </row>
    <row r="23" spans="1:32" s="29" customFormat="1" ht="12">
      <c r="A23" s="30"/>
      <c r="B23" s="76"/>
      <c r="C23" s="77"/>
      <c r="D23" s="77"/>
      <c r="E23" s="78"/>
      <c r="F23" s="79"/>
      <c r="G23" s="80"/>
      <c r="H23" s="80"/>
      <c r="I23" s="81"/>
      <c r="J23" s="66"/>
      <c r="K23" s="67"/>
      <c r="L23" s="67"/>
      <c r="M23" s="67"/>
      <c r="N23" s="67"/>
      <c r="O23" s="67"/>
      <c r="P23" s="67"/>
      <c r="Q23" s="67"/>
      <c r="R23" s="67"/>
      <c r="S23" s="67"/>
      <c r="T23" s="67"/>
      <c r="U23" s="67"/>
      <c r="V23" s="67"/>
      <c r="W23" s="67"/>
      <c r="X23" s="67"/>
      <c r="Y23" s="67"/>
      <c r="Z23" s="67"/>
      <c r="AA23" s="67"/>
      <c r="AB23" s="68"/>
      <c r="AC23" s="69"/>
      <c r="AD23" s="70"/>
      <c r="AE23" s="71"/>
      <c r="AF23" s="30"/>
    </row>
    <row r="24" spans="1:32" s="29" customFormat="1" ht="12">
      <c r="A24" s="30"/>
      <c r="B24" s="76"/>
      <c r="C24" s="77"/>
      <c r="D24" s="77"/>
      <c r="E24" s="78"/>
      <c r="F24" s="79"/>
      <c r="G24" s="80"/>
      <c r="H24" s="80"/>
      <c r="I24" s="81"/>
      <c r="J24" s="66"/>
      <c r="K24" s="67"/>
      <c r="L24" s="67"/>
      <c r="M24" s="67"/>
      <c r="N24" s="67"/>
      <c r="O24" s="67"/>
      <c r="P24" s="67"/>
      <c r="Q24" s="67"/>
      <c r="R24" s="67"/>
      <c r="S24" s="67"/>
      <c r="T24" s="67"/>
      <c r="U24" s="67"/>
      <c r="V24" s="67"/>
      <c r="W24" s="67"/>
      <c r="X24" s="67"/>
      <c r="Y24" s="67"/>
      <c r="Z24" s="67"/>
      <c r="AA24" s="67"/>
      <c r="AB24" s="68"/>
      <c r="AC24" s="69"/>
      <c r="AD24" s="70"/>
      <c r="AE24" s="71"/>
      <c r="AF24" s="30"/>
    </row>
    <row r="25" spans="1:32" s="29" customFormat="1" ht="12">
      <c r="A25" s="30"/>
      <c r="B25" s="76"/>
      <c r="C25" s="77"/>
      <c r="D25" s="77"/>
      <c r="E25" s="78"/>
      <c r="F25" s="79"/>
      <c r="G25" s="80"/>
      <c r="H25" s="80"/>
      <c r="I25" s="81"/>
      <c r="J25" s="66"/>
      <c r="K25" s="67"/>
      <c r="L25" s="67"/>
      <c r="M25" s="67"/>
      <c r="N25" s="67"/>
      <c r="O25" s="67"/>
      <c r="P25" s="67"/>
      <c r="Q25" s="67"/>
      <c r="R25" s="67"/>
      <c r="S25" s="67"/>
      <c r="T25" s="67"/>
      <c r="U25" s="67"/>
      <c r="V25" s="67"/>
      <c r="W25" s="67"/>
      <c r="X25" s="67"/>
      <c r="Y25" s="67"/>
      <c r="Z25" s="67"/>
      <c r="AA25" s="67"/>
      <c r="AB25" s="68"/>
      <c r="AC25" s="69"/>
      <c r="AD25" s="70"/>
      <c r="AE25" s="71"/>
      <c r="AF25" s="30"/>
    </row>
    <row r="26" spans="1:32" s="29" customFormat="1" ht="12">
      <c r="A26" s="30"/>
      <c r="B26" s="76"/>
      <c r="C26" s="77"/>
      <c r="D26" s="77"/>
      <c r="E26" s="78"/>
      <c r="F26" s="79"/>
      <c r="G26" s="80"/>
      <c r="H26" s="80"/>
      <c r="I26" s="81"/>
      <c r="J26" s="66"/>
      <c r="K26" s="67"/>
      <c r="L26" s="67"/>
      <c r="M26" s="67"/>
      <c r="N26" s="67"/>
      <c r="O26" s="67"/>
      <c r="P26" s="67"/>
      <c r="Q26" s="67"/>
      <c r="R26" s="67"/>
      <c r="S26" s="67"/>
      <c r="T26" s="67"/>
      <c r="U26" s="67"/>
      <c r="V26" s="67"/>
      <c r="W26" s="67"/>
      <c r="X26" s="67"/>
      <c r="Y26" s="67"/>
      <c r="Z26" s="67"/>
      <c r="AA26" s="67"/>
      <c r="AB26" s="68"/>
      <c r="AC26" s="69"/>
      <c r="AD26" s="70"/>
      <c r="AE26" s="71"/>
      <c r="AF26" s="30"/>
    </row>
    <row r="27" spans="1:32" s="29" customFormat="1" ht="12">
      <c r="A27" s="30"/>
      <c r="B27" s="76"/>
      <c r="C27" s="77"/>
      <c r="D27" s="77"/>
      <c r="E27" s="78"/>
      <c r="F27" s="79"/>
      <c r="G27" s="80"/>
      <c r="H27" s="80"/>
      <c r="I27" s="81"/>
      <c r="J27" s="66"/>
      <c r="K27" s="67"/>
      <c r="L27" s="67"/>
      <c r="M27" s="67"/>
      <c r="N27" s="67"/>
      <c r="O27" s="67"/>
      <c r="P27" s="67"/>
      <c r="Q27" s="67"/>
      <c r="R27" s="67"/>
      <c r="S27" s="67"/>
      <c r="T27" s="67"/>
      <c r="U27" s="67"/>
      <c r="V27" s="67"/>
      <c r="W27" s="67"/>
      <c r="X27" s="67"/>
      <c r="Y27" s="67"/>
      <c r="Z27" s="67"/>
      <c r="AA27" s="67"/>
      <c r="AB27" s="68"/>
      <c r="AC27" s="69"/>
      <c r="AD27" s="70"/>
      <c r="AE27" s="71"/>
      <c r="AF27" s="30"/>
    </row>
    <row r="28" spans="1:32" s="29" customFormat="1" ht="12">
      <c r="A28" s="30"/>
      <c r="B28" s="76"/>
      <c r="C28" s="77"/>
      <c r="D28" s="77"/>
      <c r="E28" s="78"/>
      <c r="F28" s="79"/>
      <c r="G28" s="80"/>
      <c r="H28" s="80"/>
      <c r="I28" s="81"/>
      <c r="J28" s="66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  <c r="W28" s="67"/>
      <c r="X28" s="67"/>
      <c r="Y28" s="67"/>
      <c r="Z28" s="67"/>
      <c r="AA28" s="67"/>
      <c r="AB28" s="68"/>
      <c r="AC28" s="69"/>
      <c r="AD28" s="70"/>
      <c r="AE28" s="71"/>
      <c r="AF28" s="30"/>
    </row>
    <row r="29" spans="1:32" s="29" customFormat="1" ht="12">
      <c r="A29" s="30"/>
      <c r="B29" s="76"/>
      <c r="C29" s="77"/>
      <c r="D29" s="77"/>
      <c r="E29" s="78"/>
      <c r="F29" s="79"/>
      <c r="G29" s="80"/>
      <c r="H29" s="80"/>
      <c r="I29" s="81"/>
      <c r="J29" s="66"/>
      <c r="K29" s="67"/>
      <c r="L29" s="67"/>
      <c r="M29" s="67"/>
      <c r="N29" s="67"/>
      <c r="O29" s="67"/>
      <c r="P29" s="67"/>
      <c r="Q29" s="67"/>
      <c r="R29" s="67"/>
      <c r="S29" s="67"/>
      <c r="T29" s="67"/>
      <c r="U29" s="67"/>
      <c r="V29" s="67"/>
      <c r="W29" s="67"/>
      <c r="X29" s="67"/>
      <c r="Y29" s="67"/>
      <c r="Z29" s="67"/>
      <c r="AA29" s="67"/>
      <c r="AB29" s="68"/>
      <c r="AC29" s="69"/>
      <c r="AD29" s="70"/>
      <c r="AE29" s="71"/>
      <c r="AF29" s="30"/>
    </row>
    <row r="30" spans="1:32" s="29" customFormat="1" ht="12">
      <c r="A30" s="30"/>
      <c r="B30" s="76"/>
      <c r="C30" s="77"/>
      <c r="D30" s="77"/>
      <c r="E30" s="78"/>
      <c r="F30" s="79"/>
      <c r="G30" s="80"/>
      <c r="H30" s="80"/>
      <c r="I30" s="81"/>
      <c r="J30" s="66"/>
      <c r="K30" s="67"/>
      <c r="L30" s="67"/>
      <c r="M30" s="67"/>
      <c r="N30" s="67"/>
      <c r="O30" s="67"/>
      <c r="P30" s="67"/>
      <c r="Q30" s="67"/>
      <c r="R30" s="67"/>
      <c r="S30" s="67"/>
      <c r="T30" s="67"/>
      <c r="U30" s="67"/>
      <c r="V30" s="67"/>
      <c r="W30" s="67"/>
      <c r="X30" s="67"/>
      <c r="Y30" s="67"/>
      <c r="Z30" s="67"/>
      <c r="AA30" s="67"/>
      <c r="AB30" s="68"/>
      <c r="AC30" s="69"/>
      <c r="AD30" s="70"/>
      <c r="AE30" s="71"/>
      <c r="AF30" s="30"/>
    </row>
    <row r="31" spans="1:32" s="29" customFormat="1" ht="12">
      <c r="A31" s="30"/>
      <c r="B31" s="76"/>
      <c r="C31" s="77"/>
      <c r="D31" s="77"/>
      <c r="E31" s="78"/>
      <c r="F31" s="79"/>
      <c r="G31" s="80"/>
      <c r="H31" s="80"/>
      <c r="I31" s="81"/>
      <c r="J31" s="66"/>
      <c r="K31" s="67"/>
      <c r="L31" s="67"/>
      <c r="M31" s="67"/>
      <c r="N31" s="67"/>
      <c r="O31" s="67"/>
      <c r="P31" s="67"/>
      <c r="Q31" s="67"/>
      <c r="R31" s="67"/>
      <c r="S31" s="67"/>
      <c r="T31" s="67"/>
      <c r="U31" s="67"/>
      <c r="V31" s="67"/>
      <c r="W31" s="67"/>
      <c r="X31" s="67"/>
      <c r="Y31" s="67"/>
      <c r="Z31" s="67"/>
      <c r="AA31" s="67"/>
      <c r="AB31" s="68"/>
      <c r="AC31" s="97"/>
      <c r="AD31" s="98"/>
      <c r="AE31" s="99"/>
      <c r="AF31" s="30"/>
    </row>
    <row r="32" spans="1:32" s="29" customFormat="1" ht="12">
      <c r="A32" s="30"/>
      <c r="B32" s="76"/>
      <c r="C32" s="77"/>
      <c r="D32" s="77"/>
      <c r="E32" s="78"/>
      <c r="F32" s="79"/>
      <c r="G32" s="80"/>
      <c r="H32" s="80"/>
      <c r="I32" s="81"/>
      <c r="J32" s="66"/>
      <c r="K32" s="67"/>
      <c r="L32" s="67"/>
      <c r="M32" s="67"/>
      <c r="N32" s="67"/>
      <c r="O32" s="67"/>
      <c r="P32" s="67"/>
      <c r="Q32" s="67"/>
      <c r="R32" s="67"/>
      <c r="S32" s="67"/>
      <c r="T32" s="67"/>
      <c r="U32" s="67"/>
      <c r="V32" s="67"/>
      <c r="W32" s="67"/>
      <c r="X32" s="67"/>
      <c r="Y32" s="67"/>
      <c r="Z32" s="67"/>
      <c r="AA32" s="67"/>
      <c r="AB32" s="68"/>
      <c r="AC32" s="69"/>
      <c r="AD32" s="70"/>
      <c r="AE32" s="71"/>
      <c r="AF32" s="30"/>
    </row>
    <row r="33" spans="1:32" s="29" customFormat="1" ht="12">
      <c r="A33" s="30"/>
      <c r="B33" s="76"/>
      <c r="C33" s="77"/>
      <c r="D33" s="77"/>
      <c r="E33" s="78"/>
      <c r="F33" s="79"/>
      <c r="G33" s="80"/>
      <c r="H33" s="80"/>
      <c r="I33" s="81"/>
      <c r="J33" s="72"/>
      <c r="K33" s="67"/>
      <c r="L33" s="67"/>
      <c r="M33" s="67"/>
      <c r="N33" s="67"/>
      <c r="O33" s="67"/>
      <c r="P33" s="67"/>
      <c r="Q33" s="67"/>
      <c r="R33" s="67"/>
      <c r="S33" s="67"/>
      <c r="T33" s="67"/>
      <c r="U33" s="67"/>
      <c r="V33" s="67"/>
      <c r="W33" s="67"/>
      <c r="X33" s="67"/>
      <c r="Y33" s="67"/>
      <c r="Z33" s="67"/>
      <c r="AA33" s="67"/>
      <c r="AB33" s="68"/>
      <c r="AC33" s="69"/>
      <c r="AD33" s="70"/>
      <c r="AE33" s="71"/>
      <c r="AF33" s="30"/>
    </row>
    <row r="34" spans="1:32" s="29" customFormat="1" ht="12">
      <c r="B34" s="76"/>
      <c r="C34" s="77"/>
      <c r="D34" s="77"/>
      <c r="E34" s="78"/>
      <c r="F34" s="79"/>
      <c r="G34" s="80"/>
      <c r="H34" s="80"/>
      <c r="I34" s="81"/>
      <c r="J34" s="66"/>
      <c r="K34" s="67"/>
      <c r="L34" s="67"/>
      <c r="M34" s="67"/>
      <c r="N34" s="67"/>
      <c r="O34" s="67"/>
      <c r="P34" s="67"/>
      <c r="Q34" s="67"/>
      <c r="R34" s="67"/>
      <c r="S34" s="67"/>
      <c r="T34" s="67"/>
      <c r="U34" s="67"/>
      <c r="V34" s="67"/>
      <c r="W34" s="67"/>
      <c r="X34" s="67"/>
      <c r="Y34" s="67"/>
      <c r="Z34" s="67"/>
      <c r="AA34" s="67"/>
      <c r="AB34" s="68"/>
      <c r="AC34" s="69"/>
      <c r="AD34" s="70"/>
      <c r="AE34" s="71"/>
    </row>
    <row r="35" spans="1:32" s="29" customFormat="1" ht="12">
      <c r="B35" s="76"/>
      <c r="C35" s="77"/>
      <c r="D35" s="77"/>
      <c r="E35" s="78"/>
      <c r="F35" s="79"/>
      <c r="G35" s="80"/>
      <c r="H35" s="80"/>
      <c r="I35" s="81"/>
      <c r="J35" s="66"/>
      <c r="K35" s="67"/>
      <c r="L35" s="67"/>
      <c r="M35" s="67"/>
      <c r="N35" s="67"/>
      <c r="O35" s="67"/>
      <c r="P35" s="67"/>
      <c r="Q35" s="67"/>
      <c r="R35" s="67"/>
      <c r="S35" s="67"/>
      <c r="T35" s="67"/>
      <c r="U35" s="67"/>
      <c r="V35" s="67"/>
      <c r="W35" s="67"/>
      <c r="X35" s="67"/>
      <c r="Y35" s="67"/>
      <c r="Z35" s="67"/>
      <c r="AA35" s="67"/>
      <c r="AB35" s="68"/>
      <c r="AC35" s="69"/>
      <c r="AD35" s="70"/>
      <c r="AE35" s="71"/>
    </row>
    <row r="36" spans="1:32" s="29" customFormat="1" ht="12">
      <c r="B36" s="76"/>
      <c r="C36" s="77"/>
      <c r="D36" s="77"/>
      <c r="E36" s="78"/>
      <c r="F36" s="79"/>
      <c r="G36" s="80"/>
      <c r="H36" s="80"/>
      <c r="I36" s="81"/>
      <c r="J36" s="66"/>
      <c r="K36" s="67"/>
      <c r="L36" s="67"/>
      <c r="M36" s="67"/>
      <c r="N36" s="67"/>
      <c r="O36" s="67"/>
      <c r="P36" s="67"/>
      <c r="Q36" s="67"/>
      <c r="R36" s="67"/>
      <c r="S36" s="67"/>
      <c r="T36" s="67"/>
      <c r="U36" s="67"/>
      <c r="V36" s="67"/>
      <c r="W36" s="67"/>
      <c r="X36" s="67"/>
      <c r="Y36" s="67"/>
      <c r="Z36" s="67"/>
      <c r="AA36" s="67"/>
      <c r="AB36" s="68"/>
      <c r="AC36" s="69"/>
      <c r="AD36" s="70"/>
      <c r="AE36" s="71"/>
    </row>
    <row r="37" spans="1:32" s="29" customFormat="1" ht="12">
      <c r="B37" s="76"/>
      <c r="C37" s="77"/>
      <c r="D37" s="77"/>
      <c r="E37" s="78"/>
      <c r="F37" s="79"/>
      <c r="G37" s="80"/>
      <c r="H37" s="80"/>
      <c r="I37" s="81"/>
      <c r="J37" s="66"/>
      <c r="K37" s="67"/>
      <c r="L37" s="67"/>
      <c r="M37" s="67"/>
      <c r="N37" s="67"/>
      <c r="O37" s="67"/>
      <c r="P37" s="67"/>
      <c r="Q37" s="67"/>
      <c r="R37" s="67"/>
      <c r="S37" s="67"/>
      <c r="T37" s="67"/>
      <c r="U37" s="67"/>
      <c r="V37" s="67"/>
      <c r="W37" s="67"/>
      <c r="X37" s="67"/>
      <c r="Y37" s="67"/>
      <c r="Z37" s="67"/>
      <c r="AA37" s="67"/>
      <c r="AB37" s="68"/>
      <c r="AC37" s="69"/>
      <c r="AD37" s="70"/>
      <c r="AE37" s="71"/>
    </row>
    <row r="38" spans="1:32" s="29" customFormat="1" ht="12">
      <c r="B38" s="76"/>
      <c r="C38" s="77"/>
      <c r="D38" s="77"/>
      <c r="E38" s="78"/>
      <c r="F38" s="79"/>
      <c r="G38" s="80"/>
      <c r="H38" s="80"/>
      <c r="I38" s="81"/>
      <c r="J38" s="66"/>
      <c r="K38" s="67"/>
      <c r="L38" s="67"/>
      <c r="M38" s="67"/>
      <c r="N38" s="67"/>
      <c r="O38" s="67"/>
      <c r="P38" s="67"/>
      <c r="Q38" s="67"/>
      <c r="R38" s="67"/>
      <c r="S38" s="67"/>
      <c r="T38" s="67"/>
      <c r="U38" s="67"/>
      <c r="V38" s="67"/>
      <c r="W38" s="67"/>
      <c r="X38" s="67"/>
      <c r="Y38" s="67"/>
      <c r="Z38" s="67"/>
      <c r="AA38" s="67"/>
      <c r="AB38" s="68"/>
      <c r="AC38" s="69"/>
      <c r="AD38" s="70"/>
      <c r="AE38" s="71"/>
    </row>
    <row r="39" spans="1:32" s="29" customFormat="1" ht="12">
      <c r="B39" s="76"/>
      <c r="C39" s="77"/>
      <c r="D39" s="77"/>
      <c r="E39" s="78"/>
      <c r="F39" s="79"/>
      <c r="G39" s="80"/>
      <c r="H39" s="80"/>
      <c r="I39" s="81"/>
      <c r="J39" s="66"/>
      <c r="K39" s="109"/>
      <c r="L39" s="109"/>
      <c r="M39" s="109"/>
      <c r="N39" s="109"/>
      <c r="O39" s="109"/>
      <c r="P39" s="109"/>
      <c r="Q39" s="109"/>
      <c r="R39" s="109"/>
      <c r="S39" s="109"/>
      <c r="T39" s="109"/>
      <c r="U39" s="109"/>
      <c r="V39" s="109"/>
      <c r="W39" s="109"/>
      <c r="X39" s="109"/>
      <c r="Y39" s="109"/>
      <c r="Z39" s="109"/>
      <c r="AA39" s="109"/>
      <c r="AB39" s="110"/>
      <c r="AC39" s="69"/>
      <c r="AD39" s="70"/>
      <c r="AE39" s="71"/>
    </row>
    <row r="40" spans="1:32" s="29" customFormat="1" ht="12">
      <c r="B40" s="76"/>
      <c r="C40" s="77"/>
      <c r="D40" s="77"/>
      <c r="E40" s="78"/>
      <c r="F40" s="79"/>
      <c r="G40" s="80"/>
      <c r="H40" s="80"/>
      <c r="I40" s="81"/>
      <c r="J40" s="66"/>
      <c r="K40" s="109"/>
      <c r="L40" s="109"/>
      <c r="M40" s="109"/>
      <c r="N40" s="109"/>
      <c r="O40" s="109"/>
      <c r="P40" s="109"/>
      <c r="Q40" s="109"/>
      <c r="R40" s="109"/>
      <c r="S40" s="109"/>
      <c r="T40" s="109"/>
      <c r="U40" s="109"/>
      <c r="V40" s="109"/>
      <c r="W40" s="109"/>
      <c r="X40" s="109"/>
      <c r="Y40" s="109"/>
      <c r="Z40" s="109"/>
      <c r="AA40" s="109"/>
      <c r="AB40" s="110"/>
      <c r="AC40" s="69"/>
      <c r="AD40" s="70"/>
      <c r="AE40" s="71"/>
    </row>
    <row r="41" spans="1:32" s="29" customFormat="1" ht="12">
      <c r="B41" s="76"/>
      <c r="C41" s="77"/>
      <c r="D41" s="77"/>
      <c r="E41" s="78"/>
      <c r="F41" s="79"/>
      <c r="G41" s="80"/>
      <c r="H41" s="80"/>
      <c r="I41" s="81"/>
      <c r="J41" s="66"/>
      <c r="K41" s="109"/>
      <c r="L41" s="109"/>
      <c r="M41" s="109"/>
      <c r="N41" s="109"/>
      <c r="O41" s="109"/>
      <c r="P41" s="109"/>
      <c r="Q41" s="109"/>
      <c r="R41" s="109"/>
      <c r="S41" s="109"/>
      <c r="T41" s="109"/>
      <c r="U41" s="109"/>
      <c r="V41" s="109"/>
      <c r="W41" s="109"/>
      <c r="X41" s="109"/>
      <c r="Y41" s="109"/>
      <c r="Z41" s="109"/>
      <c r="AA41" s="109"/>
      <c r="AB41" s="110"/>
      <c r="AC41" s="69"/>
      <c r="AD41" s="70"/>
      <c r="AE41" s="71"/>
    </row>
    <row r="42" spans="1:32" s="29" customFormat="1" ht="12">
      <c r="B42" s="76"/>
      <c r="C42" s="77"/>
      <c r="D42" s="77"/>
      <c r="E42" s="78"/>
      <c r="F42" s="79"/>
      <c r="G42" s="80"/>
      <c r="H42" s="80"/>
      <c r="I42" s="81"/>
      <c r="J42" s="106"/>
      <c r="K42" s="107"/>
      <c r="L42" s="107"/>
      <c r="M42" s="107"/>
      <c r="N42" s="107"/>
      <c r="O42" s="107"/>
      <c r="P42" s="107"/>
      <c r="Q42" s="107"/>
      <c r="R42" s="107"/>
      <c r="S42" s="107"/>
      <c r="T42" s="107"/>
      <c r="U42" s="107"/>
      <c r="V42" s="107"/>
      <c r="W42" s="107"/>
      <c r="X42" s="107"/>
      <c r="Y42" s="107"/>
      <c r="Z42" s="107"/>
      <c r="AA42" s="107"/>
      <c r="AB42" s="108"/>
      <c r="AC42" s="100"/>
      <c r="AD42" s="101"/>
      <c r="AE42" s="102"/>
    </row>
    <row r="43" spans="1:32" s="29" customFormat="1" ht="12">
      <c r="B43" s="103"/>
      <c r="C43" s="104"/>
      <c r="D43" s="104"/>
      <c r="E43" s="105"/>
      <c r="F43" s="79"/>
      <c r="G43" s="80"/>
      <c r="H43" s="80"/>
      <c r="I43" s="81"/>
      <c r="J43" s="106"/>
      <c r="K43" s="107"/>
      <c r="L43" s="107"/>
      <c r="M43" s="107"/>
      <c r="N43" s="107"/>
      <c r="O43" s="107"/>
      <c r="P43" s="107"/>
      <c r="Q43" s="107"/>
      <c r="R43" s="107"/>
      <c r="S43" s="107"/>
      <c r="T43" s="107"/>
      <c r="U43" s="107"/>
      <c r="V43" s="107"/>
      <c r="W43" s="107"/>
      <c r="X43" s="107"/>
      <c r="Y43" s="107"/>
      <c r="Z43" s="107"/>
      <c r="AA43" s="107"/>
      <c r="AB43" s="108"/>
      <c r="AC43" s="100"/>
      <c r="AD43" s="101"/>
      <c r="AE43" s="102"/>
    </row>
    <row r="44" spans="1:32" s="29" customFormat="1" ht="12">
      <c r="B44" s="103"/>
      <c r="C44" s="104"/>
      <c r="D44" s="104"/>
      <c r="E44" s="105"/>
      <c r="F44" s="79"/>
      <c r="G44" s="80"/>
      <c r="H44" s="80"/>
      <c r="I44" s="81"/>
      <c r="J44" s="66"/>
      <c r="K44" s="109"/>
      <c r="L44" s="109"/>
      <c r="M44" s="109"/>
      <c r="N44" s="109"/>
      <c r="O44" s="109"/>
      <c r="P44" s="109"/>
      <c r="Q44" s="109"/>
      <c r="R44" s="109"/>
      <c r="S44" s="109"/>
      <c r="T44" s="109"/>
      <c r="U44" s="109"/>
      <c r="V44" s="109"/>
      <c r="W44" s="109"/>
      <c r="X44" s="109"/>
      <c r="Y44" s="109"/>
      <c r="Z44" s="109"/>
      <c r="AA44" s="109"/>
      <c r="AB44" s="110"/>
      <c r="AC44" s="100"/>
      <c r="AD44" s="101"/>
      <c r="AE44" s="102"/>
    </row>
    <row r="45" spans="1:32" s="29" customFormat="1" ht="12">
      <c r="B45" s="103"/>
      <c r="C45" s="104"/>
      <c r="D45" s="104"/>
      <c r="E45" s="105"/>
      <c r="F45" s="79"/>
      <c r="G45" s="80"/>
      <c r="H45" s="80"/>
      <c r="I45" s="81"/>
      <c r="J45" s="106"/>
      <c r="K45" s="107"/>
      <c r="L45" s="107"/>
      <c r="M45" s="107"/>
      <c r="N45" s="107"/>
      <c r="O45" s="107"/>
      <c r="P45" s="107"/>
      <c r="Q45" s="107"/>
      <c r="R45" s="107"/>
      <c r="S45" s="107"/>
      <c r="T45" s="107"/>
      <c r="U45" s="107"/>
      <c r="V45" s="107"/>
      <c r="W45" s="107"/>
      <c r="X45" s="107"/>
      <c r="Y45" s="107"/>
      <c r="Z45" s="107"/>
      <c r="AA45" s="107"/>
      <c r="AB45" s="108"/>
      <c r="AC45" s="100"/>
      <c r="AD45" s="101"/>
      <c r="AE45" s="102"/>
    </row>
    <row r="46" spans="1:32" s="29" customFormat="1" ht="12">
      <c r="B46" s="103"/>
      <c r="C46" s="104"/>
      <c r="D46" s="104"/>
      <c r="E46" s="105"/>
      <c r="F46" s="79"/>
      <c r="G46" s="80"/>
      <c r="H46" s="80"/>
      <c r="I46" s="81"/>
      <c r="J46" s="106"/>
      <c r="K46" s="107"/>
      <c r="L46" s="107"/>
      <c r="M46" s="107"/>
      <c r="N46" s="107"/>
      <c r="O46" s="107"/>
      <c r="P46" s="107"/>
      <c r="Q46" s="107"/>
      <c r="R46" s="107"/>
      <c r="S46" s="107"/>
      <c r="T46" s="107"/>
      <c r="U46" s="107"/>
      <c r="V46" s="107"/>
      <c r="W46" s="107"/>
      <c r="X46" s="107"/>
      <c r="Y46" s="107"/>
      <c r="Z46" s="107"/>
      <c r="AA46" s="107"/>
      <c r="AB46" s="108"/>
      <c r="AC46" s="100"/>
      <c r="AD46" s="101"/>
      <c r="AE46" s="102"/>
    </row>
    <row r="47" spans="1:32" s="29" customFormat="1" ht="12">
      <c r="B47" s="103"/>
      <c r="C47" s="104"/>
      <c r="D47" s="104"/>
      <c r="E47" s="105"/>
      <c r="F47" s="79"/>
      <c r="G47" s="80"/>
      <c r="H47" s="80"/>
      <c r="I47" s="81"/>
      <c r="J47" s="106"/>
      <c r="K47" s="107"/>
      <c r="L47" s="107"/>
      <c r="M47" s="107"/>
      <c r="N47" s="107"/>
      <c r="O47" s="107"/>
      <c r="P47" s="107"/>
      <c r="Q47" s="107"/>
      <c r="R47" s="107"/>
      <c r="S47" s="107"/>
      <c r="T47" s="107"/>
      <c r="U47" s="107"/>
      <c r="V47" s="107"/>
      <c r="W47" s="107"/>
      <c r="X47" s="107"/>
      <c r="Y47" s="107"/>
      <c r="Z47" s="107"/>
      <c r="AA47" s="107"/>
      <c r="AB47" s="108"/>
      <c r="AC47" s="100"/>
      <c r="AD47" s="101"/>
      <c r="AE47" s="102"/>
    </row>
  </sheetData>
  <customSheetViews>
    <customSheetView guid="{450296EB-871F-4CF4-9810-E1086F54218B}" showPageBreaks="1" showGridLines="0" printArea="1" view="pageBreakPreview">
      <pageMargins left="0.23622047244094491" right="0.23622047244094491" top="0.51181102362204722" bottom="0.55118110236220474" header="0.31496062992125984" footer="0.31496062992125984"/>
      <printOptions horizontalCentered="1"/>
      <pageSetup paperSize="9" orientation="landscape" r:id="rId1"/>
      <headerFooter alignWithMargins="0">
        <oddFooter xml:space="preserve">&amp;RCopyright© 2020 ITBlade Co.,Ltd. </oddFooter>
      </headerFooter>
    </customSheetView>
  </customSheetViews>
  <mergeCells count="145">
    <mergeCell ref="J19:AB19"/>
    <mergeCell ref="AC19:AE19"/>
    <mergeCell ref="AC43:AE43"/>
    <mergeCell ref="AC44:AE44"/>
    <mergeCell ref="F42:I42"/>
    <mergeCell ref="J44:AB44"/>
    <mergeCell ref="F44:I44"/>
    <mergeCell ref="F46:I46"/>
    <mergeCell ref="J40:AB40"/>
    <mergeCell ref="AC45:AE45"/>
    <mergeCell ref="AC46:AE46"/>
    <mergeCell ref="J37:AB37"/>
    <mergeCell ref="J26:AB26"/>
    <mergeCell ref="J23:AB23"/>
    <mergeCell ref="AC24:AE24"/>
    <mergeCell ref="AC26:AE26"/>
    <mergeCell ref="J24:AB24"/>
    <mergeCell ref="AC47:AE47"/>
    <mergeCell ref="B44:E44"/>
    <mergeCell ref="B39:E39"/>
    <mergeCell ref="B43:E43"/>
    <mergeCell ref="B47:E47"/>
    <mergeCell ref="B41:E41"/>
    <mergeCell ref="J42:AB42"/>
    <mergeCell ref="J39:AB39"/>
    <mergeCell ref="J38:AB38"/>
    <mergeCell ref="J41:AB41"/>
    <mergeCell ref="F38:I38"/>
    <mergeCell ref="F39:I39"/>
    <mergeCell ref="AC42:AE42"/>
    <mergeCell ref="B45:E45"/>
    <mergeCell ref="B46:E46"/>
    <mergeCell ref="F41:I41"/>
    <mergeCell ref="F43:I43"/>
    <mergeCell ref="F47:I47"/>
    <mergeCell ref="B42:E42"/>
    <mergeCell ref="J43:AB43"/>
    <mergeCell ref="J45:AB45"/>
    <mergeCell ref="F45:I45"/>
    <mergeCell ref="J46:AB46"/>
    <mergeCell ref="J47:AB47"/>
    <mergeCell ref="B37:E37"/>
    <mergeCell ref="B40:E40"/>
    <mergeCell ref="B38:E38"/>
    <mergeCell ref="B35:E35"/>
    <mergeCell ref="F35:I35"/>
    <mergeCell ref="AC41:AE41"/>
    <mergeCell ref="AC40:AE40"/>
    <mergeCell ref="AC37:AE37"/>
    <mergeCell ref="AC36:AE36"/>
    <mergeCell ref="AC39:AE39"/>
    <mergeCell ref="F36:I36"/>
    <mergeCell ref="F40:I40"/>
    <mergeCell ref="J36:AB36"/>
    <mergeCell ref="AC35:AE35"/>
    <mergeCell ref="J35:AB35"/>
    <mergeCell ref="AC38:AE38"/>
    <mergeCell ref="F37:I37"/>
    <mergeCell ref="B36:E36"/>
    <mergeCell ref="B34:E34"/>
    <mergeCell ref="F34:I34"/>
    <mergeCell ref="B33:E33"/>
    <mergeCell ref="J32:AB32"/>
    <mergeCell ref="B32:E32"/>
    <mergeCell ref="F32:I32"/>
    <mergeCell ref="B28:E28"/>
    <mergeCell ref="J33:AB33"/>
    <mergeCell ref="AC29:AE29"/>
    <mergeCell ref="F33:I33"/>
    <mergeCell ref="B30:E30"/>
    <mergeCell ref="F30:I30"/>
    <mergeCell ref="B29:E29"/>
    <mergeCell ref="F29:I29"/>
    <mergeCell ref="F28:I28"/>
    <mergeCell ref="B31:E31"/>
    <mergeCell ref="B27:E27"/>
    <mergeCell ref="F27:I27"/>
    <mergeCell ref="J25:AB25"/>
    <mergeCell ref="F23:I23"/>
    <mergeCell ref="B25:E25"/>
    <mergeCell ref="F25:I25"/>
    <mergeCell ref="B26:E26"/>
    <mergeCell ref="F26:I26"/>
    <mergeCell ref="AC34:AE34"/>
    <mergeCell ref="J34:AB34"/>
    <mergeCell ref="F31:I31"/>
    <mergeCell ref="AC33:AE33"/>
    <mergeCell ref="AC31:AE31"/>
    <mergeCell ref="J31:AB31"/>
    <mergeCell ref="AC32:AE32"/>
    <mergeCell ref="AC30:AE30"/>
    <mergeCell ref="J27:AB27"/>
    <mergeCell ref="J29:AB29"/>
    <mergeCell ref="AC27:AE27"/>
    <mergeCell ref="AC28:AE28"/>
    <mergeCell ref="J28:AB28"/>
    <mergeCell ref="J30:AB30"/>
    <mergeCell ref="AC25:AE25"/>
    <mergeCell ref="AC23:AE23"/>
    <mergeCell ref="B18:E18"/>
    <mergeCell ref="F18:I18"/>
    <mergeCell ref="F22:I22"/>
    <mergeCell ref="B24:E24"/>
    <mergeCell ref="F24:I24"/>
    <mergeCell ref="B23:E23"/>
    <mergeCell ref="B20:E20"/>
    <mergeCell ref="F20:I20"/>
    <mergeCell ref="B21:E21"/>
    <mergeCell ref="F21:I21"/>
    <mergeCell ref="B22:E22"/>
    <mergeCell ref="B19:E19"/>
    <mergeCell ref="F19:I19"/>
    <mergeCell ref="B8:L9"/>
    <mergeCell ref="AD8:AE9"/>
    <mergeCell ref="AC16:AE16"/>
    <mergeCell ref="M8:AA9"/>
    <mergeCell ref="AB8:AC9"/>
    <mergeCell ref="B16:E16"/>
    <mergeCell ref="F16:I16"/>
    <mergeCell ref="J16:AB16"/>
    <mergeCell ref="F14:I14"/>
    <mergeCell ref="B3:AE4"/>
    <mergeCell ref="M7:AA7"/>
    <mergeCell ref="AB7:AC7"/>
    <mergeCell ref="AD7:AE7"/>
    <mergeCell ref="B7:L7"/>
    <mergeCell ref="J22:AB22"/>
    <mergeCell ref="J21:AB21"/>
    <mergeCell ref="AC20:AE20"/>
    <mergeCell ref="AC22:AE22"/>
    <mergeCell ref="J20:AB20"/>
    <mergeCell ref="AC21:AE21"/>
    <mergeCell ref="AC18:AE18"/>
    <mergeCell ref="J18:AB18"/>
    <mergeCell ref="AC15:AE15"/>
    <mergeCell ref="AC17:AE17"/>
    <mergeCell ref="AC14:AE14"/>
    <mergeCell ref="J17:AB17"/>
    <mergeCell ref="B15:E15"/>
    <mergeCell ref="B17:E17"/>
    <mergeCell ref="F17:I17"/>
    <mergeCell ref="J15:AB15"/>
    <mergeCell ref="F15:I15"/>
    <mergeCell ref="J14:AB14"/>
    <mergeCell ref="B14:E14"/>
  </mergeCells>
  <phoneticPr fontId="8"/>
  <printOptions horizontalCentered="1"/>
  <pageMargins left="0.23622047244094491" right="0.23622047244094491" top="0.51181102362204722" bottom="0.55118110236220474" header="0.31496062992125984" footer="0.31496062992125984"/>
  <pageSetup paperSize="9" orientation="landscape" r:id="rId2"/>
  <headerFooter alignWithMargins="0">
    <oddFooter xml:space="preserve">&amp;RCopyright© 2020 ITBlade Co.,Ltd. 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6">
    <pageSetUpPr fitToPage="1"/>
  </sheetPr>
  <dimension ref="B2:N27"/>
  <sheetViews>
    <sheetView showGridLines="0" topLeftCell="B1" zoomScaleNormal="100" zoomScaleSheetLayoutView="100" workbookViewId="0">
      <selection activeCell="B1" sqref="B1"/>
    </sheetView>
  </sheetViews>
  <sheetFormatPr defaultRowHeight="11.25"/>
  <cols>
    <col min="1" max="1" width="3" style="11" customWidth="1"/>
    <col min="2" max="2" width="4.83203125" style="11" bestFit="1" customWidth="1"/>
    <col min="3" max="3" width="16.83203125" style="11" customWidth="1"/>
    <col min="4" max="4" width="26.83203125" style="11" bestFit="1" customWidth="1"/>
    <col min="5" max="5" width="23.5" style="11" bestFit="1" customWidth="1"/>
    <col min="6" max="6" width="14.5" style="25" customWidth="1"/>
    <col min="7" max="7" width="30.1640625" style="35" customWidth="1"/>
    <col min="8" max="8" width="14.5" style="31" bestFit="1" customWidth="1"/>
    <col min="9" max="9" width="62" style="35" customWidth="1"/>
    <col min="10" max="13" width="12.1640625" style="25" bestFit="1" customWidth="1"/>
    <col min="14" max="14" width="26.6640625" style="58" customWidth="1"/>
    <col min="15" max="16384" width="9.33203125" style="11"/>
  </cols>
  <sheetData>
    <row r="2" spans="2:14" ht="17.25">
      <c r="B2" s="21" t="s">
        <v>141</v>
      </c>
      <c r="C2" s="21"/>
    </row>
    <row r="4" spans="2:14">
      <c r="B4" s="39" t="s">
        <v>47</v>
      </c>
      <c r="C4" s="39" t="s">
        <v>126</v>
      </c>
      <c r="D4" s="39" t="s">
        <v>45</v>
      </c>
      <c r="E4" s="39" t="s">
        <v>48</v>
      </c>
      <c r="F4" s="39" t="s">
        <v>69</v>
      </c>
      <c r="G4" s="40" t="s">
        <v>46</v>
      </c>
      <c r="H4" s="32" t="s">
        <v>70</v>
      </c>
      <c r="I4" s="36" t="s">
        <v>71</v>
      </c>
      <c r="J4" s="39" t="s">
        <v>4</v>
      </c>
      <c r="K4" s="111" t="s">
        <v>132</v>
      </c>
      <c r="L4" s="111" t="s">
        <v>124</v>
      </c>
      <c r="M4" s="111" t="s">
        <v>125</v>
      </c>
      <c r="N4" s="111" t="s">
        <v>46</v>
      </c>
    </row>
    <row r="5" spans="2:14">
      <c r="B5" s="41"/>
      <c r="C5" s="41"/>
      <c r="D5" s="41"/>
      <c r="E5" s="41"/>
      <c r="F5" s="41"/>
      <c r="G5" s="37" t="s">
        <v>3</v>
      </c>
      <c r="H5" s="33"/>
      <c r="I5" s="37"/>
      <c r="J5" s="41"/>
      <c r="K5" s="112"/>
      <c r="L5" s="112"/>
      <c r="M5" s="112"/>
      <c r="N5" s="112"/>
    </row>
    <row r="6" spans="2:14">
      <c r="B6" s="27">
        <f t="shared" ref="B6:B27" si="0">ROW()-5</f>
        <v>1</v>
      </c>
      <c r="C6" s="56"/>
      <c r="D6" s="54" t="str">
        <f t="shared" ref="D6:D27" si="1">IF(E6="","",HYPERLINK("#" &amp; E6 &amp; "!A1",E6))</f>
        <v/>
      </c>
      <c r="E6" s="53"/>
      <c r="F6" s="28"/>
      <c r="G6" s="38"/>
      <c r="H6" s="34"/>
      <c r="I6" s="38"/>
      <c r="J6" s="26"/>
      <c r="K6" s="26"/>
      <c r="L6" s="26"/>
      <c r="M6" s="55"/>
      <c r="N6" s="57"/>
    </row>
    <row r="7" spans="2:14">
      <c r="B7" s="27">
        <f t="shared" si="0"/>
        <v>2</v>
      </c>
      <c r="C7" s="56"/>
      <c r="D7" s="54" t="str">
        <f t="shared" si="1"/>
        <v/>
      </c>
      <c r="E7" s="53"/>
      <c r="F7" s="28"/>
      <c r="G7" s="38"/>
      <c r="H7" s="34"/>
      <c r="I7" s="38"/>
      <c r="J7" s="26"/>
      <c r="K7" s="26"/>
      <c r="L7" s="26"/>
      <c r="M7" s="55"/>
      <c r="N7" s="57"/>
    </row>
    <row r="8" spans="2:14">
      <c r="B8" s="27">
        <f t="shared" si="0"/>
        <v>3</v>
      </c>
      <c r="C8" s="56"/>
      <c r="D8" s="54" t="str">
        <f t="shared" si="1"/>
        <v/>
      </c>
      <c r="E8" s="53"/>
      <c r="F8" s="28"/>
      <c r="G8" s="38"/>
      <c r="H8" s="34"/>
      <c r="I8" s="38"/>
      <c r="J8" s="26"/>
      <c r="K8" s="26"/>
      <c r="L8" s="26"/>
      <c r="M8" s="55"/>
      <c r="N8" s="57"/>
    </row>
    <row r="9" spans="2:14">
      <c r="B9" s="27">
        <f t="shared" si="0"/>
        <v>4</v>
      </c>
      <c r="C9" s="56"/>
      <c r="D9" s="54" t="str">
        <f t="shared" si="1"/>
        <v/>
      </c>
      <c r="E9" s="53"/>
      <c r="F9" s="28"/>
      <c r="G9" s="38"/>
      <c r="H9" s="34"/>
      <c r="I9" s="38"/>
      <c r="J9" s="26"/>
      <c r="K9" s="26"/>
      <c r="L9" s="26"/>
      <c r="M9" s="55"/>
      <c r="N9" s="57"/>
    </row>
    <row r="10" spans="2:14">
      <c r="B10" s="27">
        <f t="shared" si="0"/>
        <v>5</v>
      </c>
      <c r="C10" s="56"/>
      <c r="D10" s="54" t="str">
        <f t="shared" si="1"/>
        <v/>
      </c>
      <c r="E10" s="53"/>
      <c r="F10" s="28"/>
      <c r="G10" s="38"/>
      <c r="H10" s="34"/>
      <c r="I10" s="38"/>
      <c r="J10" s="26"/>
      <c r="K10" s="26"/>
      <c r="L10" s="26"/>
      <c r="M10" s="55"/>
      <c r="N10" s="57"/>
    </row>
    <row r="11" spans="2:14">
      <c r="B11" s="27">
        <f t="shared" si="0"/>
        <v>6</v>
      </c>
      <c r="C11" s="56"/>
      <c r="D11" s="54" t="str">
        <f t="shared" si="1"/>
        <v/>
      </c>
      <c r="E11" s="53"/>
      <c r="F11" s="28"/>
      <c r="G11" s="38"/>
      <c r="H11" s="34"/>
      <c r="I11" s="38"/>
      <c r="J11" s="26"/>
      <c r="K11" s="26"/>
      <c r="L11" s="26"/>
      <c r="M11" s="55"/>
      <c r="N11" s="57"/>
    </row>
    <row r="12" spans="2:14">
      <c r="B12" s="27">
        <f t="shared" si="0"/>
        <v>7</v>
      </c>
      <c r="C12" s="56"/>
      <c r="D12" s="54" t="str">
        <f t="shared" si="1"/>
        <v/>
      </c>
      <c r="E12" s="53"/>
      <c r="F12" s="28"/>
      <c r="G12" s="38"/>
      <c r="H12" s="34"/>
      <c r="I12" s="38"/>
      <c r="J12" s="26"/>
      <c r="K12" s="26"/>
      <c r="L12" s="26"/>
      <c r="M12" s="55"/>
      <c r="N12" s="57"/>
    </row>
    <row r="13" spans="2:14">
      <c r="B13" s="27">
        <f t="shared" si="0"/>
        <v>8</v>
      </c>
      <c r="C13" s="56"/>
      <c r="D13" s="54" t="str">
        <f t="shared" si="1"/>
        <v/>
      </c>
      <c r="E13" s="53"/>
      <c r="F13" s="28"/>
      <c r="G13" s="38"/>
      <c r="H13" s="34"/>
      <c r="I13" s="38"/>
      <c r="J13" s="26"/>
      <c r="K13" s="26"/>
      <c r="L13" s="26"/>
      <c r="M13" s="55"/>
      <c r="N13" s="57"/>
    </row>
    <row r="14" spans="2:14">
      <c r="B14" s="27">
        <f t="shared" si="0"/>
        <v>9</v>
      </c>
      <c r="C14" s="56"/>
      <c r="D14" s="54" t="str">
        <f t="shared" si="1"/>
        <v/>
      </c>
      <c r="E14" s="53"/>
      <c r="F14" s="28"/>
      <c r="G14" s="38"/>
      <c r="H14" s="34"/>
      <c r="I14" s="38"/>
      <c r="J14" s="26"/>
      <c r="K14" s="26"/>
      <c r="L14" s="26"/>
      <c r="M14" s="55"/>
      <c r="N14" s="57"/>
    </row>
    <row r="15" spans="2:14">
      <c r="B15" s="27">
        <f t="shared" si="0"/>
        <v>10</v>
      </c>
      <c r="C15" s="56"/>
      <c r="D15" s="54" t="str">
        <f t="shared" si="1"/>
        <v/>
      </c>
      <c r="E15" s="53"/>
      <c r="F15" s="28"/>
      <c r="G15" s="38"/>
      <c r="H15" s="34"/>
      <c r="I15" s="38"/>
      <c r="J15" s="26"/>
      <c r="K15" s="26"/>
      <c r="L15" s="26"/>
      <c r="M15" s="55"/>
      <c r="N15" s="57"/>
    </row>
    <row r="16" spans="2:14">
      <c r="B16" s="27">
        <f t="shared" si="0"/>
        <v>11</v>
      </c>
      <c r="C16" s="56"/>
      <c r="D16" s="54" t="str">
        <f t="shared" si="1"/>
        <v/>
      </c>
      <c r="E16" s="53"/>
      <c r="F16" s="28"/>
      <c r="G16" s="38"/>
      <c r="H16" s="34"/>
      <c r="I16" s="38"/>
      <c r="J16" s="26"/>
      <c r="K16" s="26"/>
      <c r="L16" s="26"/>
      <c r="M16" s="55"/>
      <c r="N16" s="57"/>
    </row>
    <row r="17" spans="2:14">
      <c r="B17" s="27">
        <f t="shared" si="0"/>
        <v>12</v>
      </c>
      <c r="C17" s="56"/>
      <c r="D17" s="54" t="str">
        <f t="shared" si="1"/>
        <v/>
      </c>
      <c r="E17" s="53"/>
      <c r="F17" s="28"/>
      <c r="G17" s="38"/>
      <c r="H17" s="34"/>
      <c r="I17" s="38"/>
      <c r="J17" s="26"/>
      <c r="K17" s="26"/>
      <c r="L17" s="26"/>
      <c r="M17" s="55"/>
      <c r="N17" s="57"/>
    </row>
    <row r="18" spans="2:14">
      <c r="B18" s="27">
        <f t="shared" si="0"/>
        <v>13</v>
      </c>
      <c r="C18" s="56"/>
      <c r="D18" s="54" t="str">
        <f t="shared" si="1"/>
        <v/>
      </c>
      <c r="E18" s="53"/>
      <c r="F18" s="28"/>
      <c r="G18" s="38"/>
      <c r="H18" s="34"/>
      <c r="I18" s="38"/>
      <c r="J18" s="26"/>
      <c r="K18" s="26"/>
      <c r="L18" s="26"/>
      <c r="M18" s="55"/>
      <c r="N18" s="57"/>
    </row>
    <row r="19" spans="2:14">
      <c r="B19" s="27">
        <f t="shared" si="0"/>
        <v>14</v>
      </c>
      <c r="C19" s="56"/>
      <c r="D19" s="54" t="str">
        <f t="shared" si="1"/>
        <v/>
      </c>
      <c r="E19" s="53"/>
      <c r="F19" s="28"/>
      <c r="G19" s="38"/>
      <c r="H19" s="34"/>
      <c r="I19" s="38"/>
      <c r="J19" s="26"/>
      <c r="K19" s="26"/>
      <c r="L19" s="26"/>
      <c r="M19" s="55"/>
      <c r="N19" s="57"/>
    </row>
    <row r="20" spans="2:14">
      <c r="B20" s="27">
        <f t="shared" si="0"/>
        <v>15</v>
      </c>
      <c r="C20" s="56"/>
      <c r="D20" s="54" t="str">
        <f t="shared" si="1"/>
        <v/>
      </c>
      <c r="E20" s="53"/>
      <c r="F20" s="28"/>
      <c r="G20" s="38"/>
      <c r="H20" s="34"/>
      <c r="I20" s="38"/>
      <c r="J20" s="26"/>
      <c r="K20" s="26"/>
      <c r="L20" s="26"/>
      <c r="M20" s="55"/>
      <c r="N20" s="57"/>
    </row>
    <row r="21" spans="2:14">
      <c r="B21" s="27">
        <f t="shared" si="0"/>
        <v>16</v>
      </c>
      <c r="C21" s="56"/>
      <c r="D21" s="54" t="str">
        <f t="shared" si="1"/>
        <v/>
      </c>
      <c r="E21" s="53"/>
      <c r="F21" s="28"/>
      <c r="G21" s="38"/>
      <c r="H21" s="34"/>
      <c r="I21" s="38"/>
      <c r="J21" s="26"/>
      <c r="K21" s="26"/>
      <c r="L21" s="26"/>
      <c r="M21" s="55"/>
      <c r="N21" s="57"/>
    </row>
    <row r="22" spans="2:14">
      <c r="B22" s="27">
        <f t="shared" si="0"/>
        <v>17</v>
      </c>
      <c r="C22" s="56"/>
      <c r="D22" s="54" t="str">
        <f t="shared" si="1"/>
        <v/>
      </c>
      <c r="E22" s="53"/>
      <c r="F22" s="28"/>
      <c r="G22" s="38"/>
      <c r="H22" s="34"/>
      <c r="I22" s="38"/>
      <c r="J22" s="26"/>
      <c r="K22" s="26"/>
      <c r="L22" s="26"/>
      <c r="M22" s="55"/>
      <c r="N22" s="57"/>
    </row>
    <row r="23" spans="2:14">
      <c r="B23" s="27">
        <f t="shared" si="0"/>
        <v>18</v>
      </c>
      <c r="C23" s="56"/>
      <c r="D23" s="54" t="str">
        <f t="shared" si="1"/>
        <v/>
      </c>
      <c r="E23" s="53"/>
      <c r="F23" s="28"/>
      <c r="G23" s="38"/>
      <c r="H23" s="34"/>
      <c r="I23" s="38"/>
      <c r="J23" s="26"/>
      <c r="K23" s="26"/>
      <c r="L23" s="26"/>
      <c r="M23" s="55"/>
      <c r="N23" s="57"/>
    </row>
    <row r="24" spans="2:14">
      <c r="B24" s="27">
        <f t="shared" si="0"/>
        <v>19</v>
      </c>
      <c r="C24" s="56"/>
      <c r="D24" s="54" t="str">
        <f t="shared" si="1"/>
        <v/>
      </c>
      <c r="E24" s="53"/>
      <c r="F24" s="28"/>
      <c r="G24" s="38"/>
      <c r="H24" s="34"/>
      <c r="I24" s="38"/>
      <c r="J24" s="26"/>
      <c r="K24" s="26"/>
      <c r="L24" s="26"/>
      <c r="M24" s="55"/>
      <c r="N24" s="57"/>
    </row>
    <row r="25" spans="2:14">
      <c r="B25" s="27">
        <f t="shared" si="0"/>
        <v>20</v>
      </c>
      <c r="C25" s="56"/>
      <c r="D25" s="54" t="str">
        <f t="shared" si="1"/>
        <v/>
      </c>
      <c r="E25" s="53"/>
      <c r="F25" s="28"/>
      <c r="G25" s="38"/>
      <c r="H25" s="34"/>
      <c r="I25" s="38"/>
      <c r="J25" s="26"/>
      <c r="K25" s="26"/>
      <c r="L25" s="26"/>
      <c r="M25" s="55"/>
      <c r="N25" s="57"/>
    </row>
    <row r="26" spans="2:14">
      <c r="B26" s="27">
        <f t="shared" si="0"/>
        <v>21</v>
      </c>
      <c r="C26" s="56"/>
      <c r="D26" s="54" t="str">
        <f t="shared" si="1"/>
        <v/>
      </c>
      <c r="E26" s="53"/>
      <c r="F26" s="28"/>
      <c r="G26" s="38"/>
      <c r="H26" s="34"/>
      <c r="I26" s="38"/>
      <c r="J26" s="26"/>
      <c r="K26" s="26"/>
      <c r="L26" s="26"/>
      <c r="M26" s="55"/>
      <c r="N26" s="57"/>
    </row>
    <row r="27" spans="2:14">
      <c r="B27" s="27">
        <f t="shared" si="0"/>
        <v>22</v>
      </c>
      <c r="C27" s="56"/>
      <c r="D27" s="54" t="str">
        <f t="shared" si="1"/>
        <v/>
      </c>
      <c r="E27" s="53"/>
      <c r="F27" s="28"/>
      <c r="G27" s="38"/>
      <c r="H27" s="34"/>
      <c r="I27" s="38"/>
      <c r="J27" s="26"/>
      <c r="K27" s="26"/>
      <c r="L27" s="26"/>
      <c r="M27" s="55"/>
      <c r="N27" s="57"/>
    </row>
  </sheetData>
  <autoFilter ref="B5:J27" xr:uid="{00000000-0009-0000-0000-000001000000}"/>
  <customSheetViews>
    <customSheetView guid="{450296EB-871F-4CF4-9810-E1086F54218B}" showPageBreaks="1" showGridLines="0" fitToPage="1" printArea="1" showAutoFilter="1" view="pageBreakPreview">
      <selection activeCell="C11" sqref="C11"/>
      <pageMargins left="0.70866141732283472" right="0.70866141732283472" top="0.39370078740157483" bottom="0.35433070866141736" header="0.31496062992125984" footer="0.31496062992125984"/>
      <printOptions horizontalCentered="1"/>
      <pageSetup paperSize="9" scale="51" orientation="portrait" verticalDpi="300" r:id="rId1"/>
      <autoFilter ref="B5:J136" xr:uid="{685922CF-EA60-4308-B788-AC3B8CEF2216}"/>
    </customSheetView>
  </customSheetViews>
  <mergeCells count="4">
    <mergeCell ref="L4:L5"/>
    <mergeCell ref="M4:M5"/>
    <mergeCell ref="N4:N5"/>
    <mergeCell ref="K4:K5"/>
  </mergeCells>
  <phoneticPr fontId="6"/>
  <conditionalFormatting sqref="D6:D27">
    <cfRule type="expression" dxfId="1" priority="24">
      <formula>IF( $L6 &lt;&gt; "", TRUE, FALSE )</formula>
    </cfRule>
  </conditionalFormatting>
  <conditionalFormatting sqref="E6:E27">
    <cfRule type="expression" dxfId="0" priority="23">
      <formula>IF( $K6 &lt;&gt; "", TRUE, FALSE )</formula>
    </cfRule>
  </conditionalFormatting>
  <dataValidations disablePrompts="1" count="1">
    <dataValidation type="list" allowBlank="1" showInputMessage="1" sqref="K6:K27" xr:uid="{00000000-0002-0000-0100-000000000000}">
      <formula1>"基幹,Web,基幹Web"</formula1>
    </dataValidation>
  </dataValidations>
  <printOptions horizontalCentered="1"/>
  <pageMargins left="0.70866141732283472" right="0.70866141732283472" top="0.39370078740157483" bottom="0.35433070866141736" header="0.31496062992125984" footer="0.31496062992125984"/>
  <pageSetup paperSize="9" scale="43" orientation="portrait" verticalDpi="30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01">
    <tabColor rgb="FFFF0000"/>
    <pageSetUpPr fitToPage="1"/>
  </sheetPr>
  <dimension ref="A1:AY54"/>
  <sheetViews>
    <sheetView view="pageBreakPreview" zoomScaleNormal="100" zoomScaleSheetLayoutView="100" workbookViewId="0">
      <selection sqref="A1:F5"/>
    </sheetView>
  </sheetViews>
  <sheetFormatPr defaultColWidth="3.83203125" defaultRowHeight="12"/>
  <cols>
    <col min="1" max="1" width="3.83203125" style="7" customWidth="1"/>
    <col min="2" max="3" width="3.83203125" style="8"/>
    <col min="4" max="49" width="3.83203125" style="7"/>
    <col min="50" max="50" width="4" style="7" customWidth="1"/>
    <col min="51" max="16384" width="3.83203125" style="7"/>
  </cols>
  <sheetData>
    <row r="1" spans="1:51" s="2" customFormat="1">
      <c r="A1" s="162" t="str">
        <f>L5</f>
        <v>テーブル定義書</v>
      </c>
      <c r="B1" s="163"/>
      <c r="C1" s="163"/>
      <c r="D1" s="163"/>
      <c r="E1" s="163"/>
      <c r="F1" s="164"/>
      <c r="G1" s="123" t="s">
        <v>59</v>
      </c>
      <c r="H1" s="113"/>
      <c r="I1" s="113"/>
      <c r="J1" s="113"/>
      <c r="K1" s="113"/>
      <c r="L1" s="1" t="s">
        <v>122</v>
      </c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24"/>
      <c r="AD1" s="124"/>
      <c r="AE1" s="124"/>
      <c r="AF1" s="124"/>
      <c r="AG1" s="124"/>
      <c r="AH1" s="124"/>
      <c r="AI1" s="113" t="s">
        <v>60</v>
      </c>
      <c r="AJ1" s="113"/>
      <c r="AK1" s="113"/>
      <c r="AL1" s="113" t="s">
        <v>61</v>
      </c>
      <c r="AM1" s="113"/>
      <c r="AN1" s="113"/>
      <c r="AO1" s="113" t="s">
        <v>62</v>
      </c>
      <c r="AP1" s="113"/>
      <c r="AQ1" s="113"/>
      <c r="AR1" s="113"/>
      <c r="AS1" s="113"/>
      <c r="AT1" s="113" t="s">
        <v>55</v>
      </c>
      <c r="AU1" s="113"/>
      <c r="AV1" s="113"/>
      <c r="AW1" s="113"/>
      <c r="AX1" s="113" t="s">
        <v>63</v>
      </c>
      <c r="AY1" s="114"/>
    </row>
    <row r="2" spans="1:51" s="2" customFormat="1">
      <c r="A2" s="165"/>
      <c r="B2" s="166"/>
      <c r="C2" s="166"/>
      <c r="D2" s="166"/>
      <c r="E2" s="166"/>
      <c r="F2" s="167"/>
      <c r="G2" s="115" t="s">
        <v>64</v>
      </c>
      <c r="H2" s="116"/>
      <c r="I2" s="116"/>
      <c r="J2" s="116"/>
      <c r="K2" s="116"/>
      <c r="L2" s="3" t="s">
        <v>123</v>
      </c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117"/>
      <c r="AD2" s="117"/>
      <c r="AE2" s="117"/>
      <c r="AF2" s="117"/>
      <c r="AG2" s="117"/>
      <c r="AH2" s="117"/>
      <c r="AI2" s="119" t="s">
        <v>65</v>
      </c>
      <c r="AJ2" s="119"/>
      <c r="AK2" s="119"/>
      <c r="AL2" s="120" t="s">
        <v>73</v>
      </c>
      <c r="AM2" s="120"/>
      <c r="AN2" s="120"/>
      <c r="AO2" s="121">
        <v>44085</v>
      </c>
      <c r="AP2" s="121"/>
      <c r="AQ2" s="122"/>
      <c r="AR2" s="122"/>
      <c r="AS2" s="122"/>
      <c r="AT2" s="122" t="s">
        <v>119</v>
      </c>
      <c r="AU2" s="122"/>
      <c r="AV2" s="122"/>
      <c r="AW2" s="122"/>
      <c r="AX2" s="150" t="s">
        <v>74</v>
      </c>
      <c r="AY2" s="151"/>
    </row>
    <row r="3" spans="1:51" s="2" customFormat="1">
      <c r="A3" s="165"/>
      <c r="B3" s="166"/>
      <c r="C3" s="166"/>
      <c r="D3" s="166"/>
      <c r="E3" s="166"/>
      <c r="F3" s="167"/>
      <c r="G3" s="154" t="s">
        <v>66</v>
      </c>
      <c r="H3" s="119"/>
      <c r="I3" s="119"/>
      <c r="J3" s="119"/>
      <c r="K3" s="119"/>
      <c r="L3" s="4" t="s">
        <v>5</v>
      </c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117"/>
      <c r="AD3" s="117"/>
      <c r="AE3" s="117"/>
      <c r="AF3" s="117"/>
      <c r="AG3" s="117"/>
      <c r="AH3" s="117"/>
      <c r="AI3" s="155" t="s">
        <v>67</v>
      </c>
      <c r="AJ3" s="155"/>
      <c r="AK3" s="155"/>
      <c r="AL3" s="156"/>
      <c r="AM3" s="156"/>
      <c r="AN3" s="156"/>
      <c r="AO3" s="157"/>
      <c r="AP3" s="157"/>
      <c r="AQ3" s="158"/>
      <c r="AR3" s="158"/>
      <c r="AS3" s="158"/>
      <c r="AT3" s="158"/>
      <c r="AU3" s="158"/>
      <c r="AV3" s="158"/>
      <c r="AW3" s="158"/>
      <c r="AX3" s="150"/>
      <c r="AY3" s="151"/>
    </row>
    <row r="4" spans="1:51" s="2" customFormat="1">
      <c r="A4" s="165"/>
      <c r="B4" s="166"/>
      <c r="C4" s="166"/>
      <c r="D4" s="166"/>
      <c r="E4" s="166"/>
      <c r="F4" s="167"/>
      <c r="G4" s="159" t="s">
        <v>75</v>
      </c>
      <c r="H4" s="155"/>
      <c r="I4" s="155"/>
      <c r="J4" s="155"/>
      <c r="K4" s="15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117"/>
      <c r="AD4" s="117"/>
      <c r="AE4" s="117"/>
      <c r="AF4" s="117"/>
      <c r="AG4" s="117"/>
      <c r="AH4" s="117"/>
      <c r="AI4" s="155" t="s">
        <v>68</v>
      </c>
      <c r="AJ4" s="155"/>
      <c r="AK4" s="155"/>
      <c r="AL4" s="156"/>
      <c r="AM4" s="156"/>
      <c r="AN4" s="156"/>
      <c r="AO4" s="160"/>
      <c r="AP4" s="160"/>
      <c r="AQ4" s="161"/>
      <c r="AR4" s="161"/>
      <c r="AS4" s="161"/>
      <c r="AT4" s="125"/>
      <c r="AU4" s="125"/>
      <c r="AV4" s="125"/>
      <c r="AW4" s="125"/>
      <c r="AX4" s="150"/>
      <c r="AY4" s="151"/>
    </row>
    <row r="5" spans="1:51" s="2" customFormat="1" ht="12.75" thickBot="1">
      <c r="A5" s="168"/>
      <c r="B5" s="169"/>
      <c r="C5" s="169"/>
      <c r="D5" s="169"/>
      <c r="E5" s="169"/>
      <c r="F5" s="170"/>
      <c r="G5" s="126" t="s">
        <v>0</v>
      </c>
      <c r="H5" s="127"/>
      <c r="I5" s="127"/>
      <c r="J5" s="127"/>
      <c r="K5" s="127"/>
      <c r="L5" s="6" t="s">
        <v>87</v>
      </c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118"/>
      <c r="AD5" s="118"/>
      <c r="AE5" s="118"/>
      <c r="AF5" s="118"/>
      <c r="AG5" s="118"/>
      <c r="AH5" s="118"/>
      <c r="AI5" s="127"/>
      <c r="AJ5" s="127"/>
      <c r="AK5" s="127"/>
      <c r="AL5" s="128"/>
      <c r="AM5" s="128"/>
      <c r="AN5" s="128"/>
      <c r="AO5" s="129"/>
      <c r="AP5" s="129"/>
      <c r="AQ5" s="130"/>
      <c r="AR5" s="130"/>
      <c r="AS5" s="130"/>
      <c r="AT5" s="131"/>
      <c r="AU5" s="131"/>
      <c r="AV5" s="131"/>
      <c r="AW5" s="131"/>
      <c r="AX5" s="152"/>
      <c r="AY5" s="153"/>
    </row>
    <row r="6" spans="1:51" s="2" customFormat="1">
      <c r="A6" s="132" t="s">
        <v>1</v>
      </c>
      <c r="B6" s="133"/>
      <c r="C6" s="133"/>
      <c r="D6" s="133"/>
      <c r="E6" s="133"/>
      <c r="F6" s="134"/>
      <c r="G6" s="141" t="s">
        <v>10</v>
      </c>
      <c r="H6" s="142"/>
      <c r="I6" s="142"/>
      <c r="J6" s="142"/>
      <c r="K6" s="142"/>
      <c r="L6" s="143"/>
      <c r="M6" s="144"/>
      <c r="N6" s="144"/>
      <c r="O6" s="144"/>
      <c r="P6" s="144"/>
      <c r="Q6" s="144"/>
      <c r="R6" s="144"/>
      <c r="S6" s="144"/>
      <c r="T6" s="144"/>
      <c r="U6" s="144"/>
      <c r="V6" s="144"/>
      <c r="W6" s="144"/>
      <c r="X6" s="144"/>
      <c r="Y6" s="144"/>
      <c r="Z6" s="144"/>
      <c r="AA6" s="144"/>
      <c r="AB6" s="145"/>
      <c r="AC6" s="146" t="s">
        <v>14</v>
      </c>
      <c r="AD6" s="142"/>
      <c r="AE6" s="142"/>
      <c r="AF6" s="142"/>
      <c r="AG6" s="142"/>
      <c r="AH6" s="147" t="s">
        <v>79</v>
      </c>
      <c r="AI6" s="148"/>
      <c r="AJ6" s="148"/>
      <c r="AK6" s="148"/>
      <c r="AL6" s="148"/>
      <c r="AM6" s="148"/>
      <c r="AN6" s="148"/>
      <c r="AO6" s="148"/>
      <c r="AP6" s="148"/>
      <c r="AQ6" s="148"/>
      <c r="AR6" s="148"/>
      <c r="AS6" s="148"/>
      <c r="AT6" s="148"/>
      <c r="AU6" s="148"/>
      <c r="AV6" s="148"/>
      <c r="AW6" s="148"/>
      <c r="AX6" s="148"/>
      <c r="AY6" s="149"/>
    </row>
    <row r="7" spans="1:51" s="2" customFormat="1">
      <c r="A7" s="135"/>
      <c r="B7" s="136"/>
      <c r="C7" s="136"/>
      <c r="D7" s="136"/>
      <c r="E7" s="136"/>
      <c r="F7" s="137"/>
      <c r="G7" s="171" t="s">
        <v>11</v>
      </c>
      <c r="H7" s="155"/>
      <c r="I7" s="155"/>
      <c r="J7" s="155"/>
      <c r="K7" s="155"/>
      <c r="L7" s="172" t="s">
        <v>120</v>
      </c>
      <c r="M7" s="173"/>
      <c r="N7" s="173"/>
      <c r="O7" s="173"/>
      <c r="P7" s="173"/>
      <c r="Q7" s="173"/>
      <c r="R7" s="173"/>
      <c r="S7" s="173"/>
      <c r="T7" s="173"/>
      <c r="U7" s="173"/>
      <c r="V7" s="173"/>
      <c r="W7" s="173"/>
      <c r="X7" s="173"/>
      <c r="Y7" s="173"/>
      <c r="Z7" s="173"/>
      <c r="AA7" s="173"/>
      <c r="AB7" s="174"/>
      <c r="AC7" s="159" t="s">
        <v>13</v>
      </c>
      <c r="AD7" s="155"/>
      <c r="AE7" s="155"/>
      <c r="AF7" s="155"/>
      <c r="AG7" s="155"/>
      <c r="AH7" s="172" t="s">
        <v>120</v>
      </c>
      <c r="AI7" s="173"/>
      <c r="AJ7" s="173"/>
      <c r="AK7" s="173"/>
      <c r="AL7" s="173"/>
      <c r="AM7" s="173"/>
      <c r="AN7" s="173"/>
      <c r="AO7" s="173"/>
      <c r="AP7" s="173"/>
      <c r="AQ7" s="173"/>
      <c r="AR7" s="173"/>
      <c r="AS7" s="173"/>
      <c r="AT7" s="173"/>
      <c r="AU7" s="173"/>
      <c r="AV7" s="173"/>
      <c r="AW7" s="173"/>
      <c r="AX7" s="173"/>
      <c r="AY7" s="174"/>
    </row>
    <row r="8" spans="1:51" s="2" customFormat="1" ht="12.75" thickBot="1">
      <c r="A8" s="138"/>
      <c r="B8" s="139"/>
      <c r="C8" s="139"/>
      <c r="D8" s="139"/>
      <c r="E8" s="139"/>
      <c r="F8" s="140"/>
      <c r="G8" s="175" t="s">
        <v>12</v>
      </c>
      <c r="H8" s="176"/>
      <c r="I8" s="176"/>
      <c r="J8" s="176"/>
      <c r="K8" s="176"/>
      <c r="L8" s="177"/>
      <c r="M8" s="178"/>
      <c r="N8" s="178"/>
      <c r="O8" s="178"/>
      <c r="P8" s="178"/>
      <c r="Q8" s="178"/>
      <c r="R8" s="178"/>
      <c r="S8" s="178"/>
      <c r="T8" s="178"/>
      <c r="U8" s="178"/>
      <c r="V8" s="178"/>
      <c r="W8" s="178"/>
      <c r="X8" s="178"/>
      <c r="Y8" s="178"/>
      <c r="Z8" s="178"/>
      <c r="AA8" s="178"/>
      <c r="AB8" s="179"/>
      <c r="AC8" s="180" t="s">
        <v>33</v>
      </c>
      <c r="AD8" s="176"/>
      <c r="AE8" s="176"/>
      <c r="AF8" s="176"/>
      <c r="AG8" s="176"/>
      <c r="AH8" s="177" t="str">
        <f ca="1">RIGHT(CELL("filename",A1),LEN(CELL("filename",A1))-FIND("]",CELL("filename",A1)))</f>
        <v>m_商品評価単価</v>
      </c>
      <c r="AI8" s="178"/>
      <c r="AJ8" s="178"/>
      <c r="AK8" s="178"/>
      <c r="AL8" s="178"/>
      <c r="AM8" s="178"/>
      <c r="AN8" s="178"/>
      <c r="AO8" s="178"/>
      <c r="AP8" s="178"/>
      <c r="AQ8" s="178"/>
      <c r="AR8" s="178"/>
      <c r="AS8" s="178"/>
      <c r="AT8" s="178"/>
      <c r="AU8" s="178"/>
      <c r="AV8" s="178"/>
      <c r="AW8" s="178"/>
      <c r="AX8" s="178"/>
      <c r="AY8" s="179"/>
    </row>
    <row r="10" spans="1:51">
      <c r="A10" s="181" t="s">
        <v>15</v>
      </c>
      <c r="B10" s="181"/>
      <c r="C10" s="181" t="s">
        <v>17</v>
      </c>
      <c r="D10" s="181"/>
      <c r="E10" s="181"/>
      <c r="F10" s="181"/>
      <c r="G10" s="181"/>
      <c r="H10" s="181"/>
      <c r="I10" s="181"/>
      <c r="J10" s="181"/>
      <c r="K10" s="181"/>
      <c r="L10" s="183" t="s">
        <v>18</v>
      </c>
      <c r="M10" s="184"/>
      <c r="N10" s="184"/>
      <c r="O10" s="184"/>
      <c r="P10" s="184"/>
      <c r="Q10" s="184"/>
      <c r="R10" s="184"/>
      <c r="S10" s="185"/>
      <c r="T10" s="184" t="s">
        <v>16</v>
      </c>
      <c r="U10" s="184"/>
      <c r="V10" s="185"/>
      <c r="W10" s="181" t="s">
        <v>28</v>
      </c>
      <c r="X10" s="181"/>
      <c r="Y10" s="181" t="s">
        <v>29</v>
      </c>
      <c r="Z10" s="181"/>
      <c r="AA10" s="181" t="s">
        <v>25</v>
      </c>
      <c r="AB10" s="181"/>
      <c r="AC10" s="181" t="s">
        <v>26</v>
      </c>
      <c r="AD10" s="181"/>
      <c r="AE10" s="181"/>
      <c r="AF10" s="181"/>
      <c r="AG10" s="181"/>
      <c r="AH10" s="181" t="s">
        <v>27</v>
      </c>
      <c r="AI10" s="181"/>
      <c r="AJ10" s="182" t="s">
        <v>30</v>
      </c>
      <c r="AK10" s="181"/>
      <c r="AL10" s="181" t="s">
        <v>31</v>
      </c>
      <c r="AM10" s="181"/>
      <c r="AN10" s="181"/>
      <c r="AO10" s="181" t="s">
        <v>32</v>
      </c>
      <c r="AP10" s="181"/>
      <c r="AQ10" s="181"/>
      <c r="AR10" s="181"/>
      <c r="AS10" s="181"/>
      <c r="AT10" s="181"/>
      <c r="AU10" s="181"/>
      <c r="AV10" s="181"/>
      <c r="AW10" s="181"/>
      <c r="AX10" s="181"/>
      <c r="AY10" s="181"/>
    </row>
    <row r="11" spans="1:51">
      <c r="A11" s="181"/>
      <c r="B11" s="181"/>
      <c r="C11" s="181"/>
      <c r="D11" s="181"/>
      <c r="E11" s="181"/>
      <c r="F11" s="181"/>
      <c r="G11" s="181"/>
      <c r="H11" s="181"/>
      <c r="I11" s="181"/>
      <c r="J11" s="181"/>
      <c r="K11" s="181"/>
      <c r="L11" s="186"/>
      <c r="M11" s="187"/>
      <c r="N11" s="187"/>
      <c r="O11" s="187"/>
      <c r="P11" s="187"/>
      <c r="Q11" s="187"/>
      <c r="R11" s="187"/>
      <c r="S11" s="188"/>
      <c r="T11" s="187"/>
      <c r="U11" s="187"/>
      <c r="V11" s="188"/>
      <c r="W11" s="181"/>
      <c r="X11" s="181"/>
      <c r="Y11" s="181"/>
      <c r="Z11" s="181"/>
      <c r="AA11" s="181" t="s">
        <v>24</v>
      </c>
      <c r="AB11" s="181"/>
      <c r="AC11" s="9" t="s">
        <v>19</v>
      </c>
      <c r="AD11" s="9" t="s">
        <v>20</v>
      </c>
      <c r="AE11" s="9" t="s">
        <v>21</v>
      </c>
      <c r="AF11" s="9" t="s">
        <v>22</v>
      </c>
      <c r="AG11" s="9" t="s">
        <v>23</v>
      </c>
      <c r="AH11" s="181" t="s">
        <v>24</v>
      </c>
      <c r="AI11" s="181"/>
      <c r="AJ11" s="181"/>
      <c r="AK11" s="181"/>
      <c r="AL11" s="181"/>
      <c r="AM11" s="181"/>
      <c r="AN11" s="181"/>
      <c r="AO11" s="181"/>
      <c r="AP11" s="181"/>
      <c r="AQ11" s="181"/>
      <c r="AR11" s="181"/>
      <c r="AS11" s="181"/>
      <c r="AT11" s="181"/>
      <c r="AU11" s="181"/>
      <c r="AV11" s="181"/>
      <c r="AW11" s="181"/>
      <c r="AX11" s="181"/>
      <c r="AY11" s="181"/>
    </row>
    <row r="12" spans="1:51">
      <c r="A12" s="189">
        <f t="shared" ref="A12:A54" si="0">ROW()-11</f>
        <v>1</v>
      </c>
      <c r="B12" s="190"/>
      <c r="C12" s="191" t="s">
        <v>34</v>
      </c>
      <c r="D12" s="192"/>
      <c r="E12" s="192"/>
      <c r="F12" s="192"/>
      <c r="G12" s="192"/>
      <c r="H12" s="192"/>
      <c r="I12" s="192"/>
      <c r="J12" s="192"/>
      <c r="K12" s="193"/>
      <c r="L12" s="191" t="s">
        <v>34</v>
      </c>
      <c r="M12" s="192"/>
      <c r="N12" s="192"/>
      <c r="O12" s="192"/>
      <c r="P12" s="192"/>
      <c r="Q12" s="192"/>
      <c r="R12" s="192"/>
      <c r="S12" s="193"/>
      <c r="T12" s="194" t="s">
        <v>41</v>
      </c>
      <c r="U12" s="195"/>
      <c r="V12" s="196"/>
      <c r="W12" s="197" t="s">
        <v>43</v>
      </c>
      <c r="X12" s="198"/>
      <c r="Y12" s="197">
        <v>8</v>
      </c>
      <c r="Z12" s="198"/>
      <c r="AA12" s="197"/>
      <c r="AB12" s="198"/>
      <c r="AC12" s="47"/>
      <c r="AD12" s="22"/>
      <c r="AE12" s="22"/>
      <c r="AF12" s="22"/>
      <c r="AG12" s="49"/>
      <c r="AH12" s="197"/>
      <c r="AI12" s="198"/>
      <c r="AJ12" s="199"/>
      <c r="AK12" s="200"/>
      <c r="AL12" s="197"/>
      <c r="AM12" s="201"/>
      <c r="AN12" s="198"/>
      <c r="AO12" s="192"/>
      <c r="AP12" s="192"/>
      <c r="AQ12" s="192"/>
      <c r="AR12" s="192"/>
      <c r="AS12" s="192"/>
      <c r="AT12" s="192"/>
      <c r="AU12" s="192"/>
      <c r="AV12" s="192"/>
      <c r="AW12" s="192"/>
      <c r="AX12" s="192"/>
      <c r="AY12" s="193"/>
    </row>
    <row r="13" spans="1:51">
      <c r="A13" s="189">
        <f t="shared" si="0"/>
        <v>2</v>
      </c>
      <c r="B13" s="190"/>
      <c r="C13" s="191" t="s">
        <v>35</v>
      </c>
      <c r="D13" s="192"/>
      <c r="E13" s="192"/>
      <c r="F13" s="192"/>
      <c r="G13" s="192"/>
      <c r="H13" s="192"/>
      <c r="I13" s="192"/>
      <c r="J13" s="192"/>
      <c r="K13" s="193"/>
      <c r="L13" s="191" t="s">
        <v>35</v>
      </c>
      <c r="M13" s="192"/>
      <c r="N13" s="192"/>
      <c r="O13" s="192"/>
      <c r="P13" s="192"/>
      <c r="Q13" s="192"/>
      <c r="R13" s="192"/>
      <c r="S13" s="193"/>
      <c r="T13" s="194" t="s">
        <v>40</v>
      </c>
      <c r="U13" s="195"/>
      <c r="V13" s="196"/>
      <c r="W13" s="197">
        <v>60</v>
      </c>
      <c r="X13" s="198"/>
      <c r="Y13" s="197">
        <v>60</v>
      </c>
      <c r="Z13" s="198"/>
      <c r="AA13" s="197"/>
      <c r="AB13" s="198"/>
      <c r="AC13" s="47"/>
      <c r="AD13" s="22"/>
      <c r="AE13" s="22"/>
      <c r="AF13" s="22"/>
      <c r="AG13" s="49"/>
      <c r="AH13" s="197"/>
      <c r="AI13" s="198"/>
      <c r="AJ13" s="199"/>
      <c r="AK13" s="200"/>
      <c r="AL13" s="197"/>
      <c r="AM13" s="201"/>
      <c r="AN13" s="198"/>
      <c r="AO13" s="192"/>
      <c r="AP13" s="192"/>
      <c r="AQ13" s="192"/>
      <c r="AR13" s="192"/>
      <c r="AS13" s="192"/>
      <c r="AT13" s="192"/>
      <c r="AU13" s="192"/>
      <c r="AV13" s="192"/>
      <c r="AW13" s="192"/>
      <c r="AX13" s="192"/>
      <c r="AY13" s="193"/>
    </row>
    <row r="14" spans="1:51">
      <c r="A14" s="189">
        <f t="shared" si="0"/>
        <v>3</v>
      </c>
      <c r="B14" s="190"/>
      <c r="C14" s="191" t="s">
        <v>110</v>
      </c>
      <c r="D14" s="192"/>
      <c r="E14" s="192"/>
      <c r="F14" s="192"/>
      <c r="G14" s="192"/>
      <c r="H14" s="192"/>
      <c r="I14" s="192"/>
      <c r="J14" s="192"/>
      <c r="K14" s="193"/>
      <c r="L14" s="191" t="s">
        <v>115</v>
      </c>
      <c r="M14" s="192"/>
      <c r="N14" s="192"/>
      <c r="O14" s="192"/>
      <c r="P14" s="192"/>
      <c r="Q14" s="192"/>
      <c r="R14" s="192"/>
      <c r="S14" s="193"/>
      <c r="T14" s="194" t="s">
        <v>42</v>
      </c>
      <c r="U14" s="195"/>
      <c r="V14" s="196"/>
      <c r="W14" s="197" t="s">
        <v>108</v>
      </c>
      <c r="X14" s="198"/>
      <c r="Y14" s="197">
        <v>4</v>
      </c>
      <c r="Z14" s="198"/>
      <c r="AA14" s="197"/>
      <c r="AB14" s="198"/>
      <c r="AC14" s="47"/>
      <c r="AD14" s="22"/>
      <c r="AE14" s="22"/>
      <c r="AF14" s="22"/>
      <c r="AG14" s="49"/>
      <c r="AH14" s="197"/>
      <c r="AI14" s="198"/>
      <c r="AJ14" s="199"/>
      <c r="AK14" s="200"/>
      <c r="AL14" s="197"/>
      <c r="AM14" s="201"/>
      <c r="AN14" s="198"/>
      <c r="AO14" s="192"/>
      <c r="AP14" s="192"/>
      <c r="AQ14" s="192"/>
      <c r="AR14" s="192"/>
      <c r="AS14" s="192"/>
      <c r="AT14" s="192"/>
      <c r="AU14" s="192"/>
      <c r="AV14" s="192"/>
      <c r="AW14" s="192"/>
      <c r="AX14" s="192"/>
      <c r="AY14" s="193"/>
    </row>
    <row r="15" spans="1:51">
      <c r="A15" s="189">
        <f t="shared" si="0"/>
        <v>4</v>
      </c>
      <c r="B15" s="190"/>
      <c r="C15" s="191" t="s">
        <v>36</v>
      </c>
      <c r="D15" s="192"/>
      <c r="E15" s="192"/>
      <c r="F15" s="192"/>
      <c r="G15" s="192"/>
      <c r="H15" s="192"/>
      <c r="I15" s="192"/>
      <c r="J15" s="192"/>
      <c r="K15" s="193"/>
      <c r="L15" s="191" t="s">
        <v>36</v>
      </c>
      <c r="M15" s="192"/>
      <c r="N15" s="192"/>
      <c r="O15" s="192"/>
      <c r="P15" s="192"/>
      <c r="Q15" s="192"/>
      <c r="R15" s="192"/>
      <c r="S15" s="193"/>
      <c r="T15" s="194" t="s">
        <v>41</v>
      </c>
      <c r="U15" s="195"/>
      <c r="V15" s="196"/>
      <c r="W15" s="197" t="s">
        <v>43</v>
      </c>
      <c r="X15" s="198"/>
      <c r="Y15" s="197">
        <v>8</v>
      </c>
      <c r="Z15" s="198"/>
      <c r="AA15" s="197"/>
      <c r="AB15" s="198"/>
      <c r="AC15" s="47"/>
      <c r="AD15" s="22"/>
      <c r="AE15" s="22"/>
      <c r="AF15" s="22"/>
      <c r="AG15" s="49"/>
      <c r="AH15" s="197"/>
      <c r="AI15" s="198"/>
      <c r="AJ15" s="199"/>
      <c r="AK15" s="200"/>
      <c r="AL15" s="197"/>
      <c r="AM15" s="201"/>
      <c r="AN15" s="198"/>
      <c r="AO15" s="192"/>
      <c r="AP15" s="192"/>
      <c r="AQ15" s="192"/>
      <c r="AR15" s="192"/>
      <c r="AS15" s="192"/>
      <c r="AT15" s="192"/>
      <c r="AU15" s="192"/>
      <c r="AV15" s="192"/>
      <c r="AW15" s="192"/>
      <c r="AX15" s="192"/>
      <c r="AY15" s="193"/>
    </row>
    <row r="16" spans="1:51">
      <c r="A16" s="189">
        <f t="shared" si="0"/>
        <v>5</v>
      </c>
      <c r="B16" s="190"/>
      <c r="C16" s="191" t="s">
        <v>37</v>
      </c>
      <c r="D16" s="192"/>
      <c r="E16" s="192"/>
      <c r="F16" s="192"/>
      <c r="G16" s="192"/>
      <c r="H16" s="192"/>
      <c r="I16" s="192"/>
      <c r="J16" s="192"/>
      <c r="K16" s="193"/>
      <c r="L16" s="191" t="s">
        <v>37</v>
      </c>
      <c r="M16" s="192"/>
      <c r="N16" s="192"/>
      <c r="O16" s="192"/>
      <c r="P16" s="192"/>
      <c r="Q16" s="192"/>
      <c r="R16" s="192"/>
      <c r="S16" s="193"/>
      <c r="T16" s="194" t="s">
        <v>40</v>
      </c>
      <c r="U16" s="195"/>
      <c r="V16" s="196"/>
      <c r="W16" s="197">
        <v>60</v>
      </c>
      <c r="X16" s="198"/>
      <c r="Y16" s="197">
        <v>60</v>
      </c>
      <c r="Z16" s="198"/>
      <c r="AA16" s="197"/>
      <c r="AB16" s="198"/>
      <c r="AC16" s="47"/>
      <c r="AD16" s="22"/>
      <c r="AE16" s="22"/>
      <c r="AF16" s="22"/>
      <c r="AG16" s="49"/>
      <c r="AH16" s="197"/>
      <c r="AI16" s="198"/>
      <c r="AJ16" s="199"/>
      <c r="AK16" s="200"/>
      <c r="AL16" s="197"/>
      <c r="AM16" s="201"/>
      <c r="AN16" s="198"/>
      <c r="AO16" s="192"/>
      <c r="AP16" s="192"/>
      <c r="AQ16" s="192"/>
      <c r="AR16" s="192"/>
      <c r="AS16" s="192"/>
      <c r="AT16" s="192"/>
      <c r="AU16" s="192"/>
      <c r="AV16" s="192"/>
      <c r="AW16" s="192"/>
      <c r="AX16" s="192"/>
      <c r="AY16" s="193"/>
    </row>
    <row r="17" spans="1:51">
      <c r="A17" s="189">
        <f t="shared" si="0"/>
        <v>6</v>
      </c>
      <c r="B17" s="190"/>
      <c r="C17" s="191" t="s">
        <v>111</v>
      </c>
      <c r="D17" s="192"/>
      <c r="E17" s="192"/>
      <c r="F17" s="192"/>
      <c r="G17" s="192"/>
      <c r="H17" s="192"/>
      <c r="I17" s="192"/>
      <c r="J17" s="192"/>
      <c r="K17" s="193"/>
      <c r="L17" s="191" t="s">
        <v>116</v>
      </c>
      <c r="M17" s="192"/>
      <c r="N17" s="192"/>
      <c r="O17" s="192"/>
      <c r="P17" s="192"/>
      <c r="Q17" s="192"/>
      <c r="R17" s="192"/>
      <c r="S17" s="193"/>
      <c r="T17" s="194" t="s">
        <v>42</v>
      </c>
      <c r="U17" s="195"/>
      <c r="V17" s="196"/>
      <c r="W17" s="197" t="s">
        <v>108</v>
      </c>
      <c r="X17" s="198"/>
      <c r="Y17" s="197">
        <v>4</v>
      </c>
      <c r="Z17" s="198"/>
      <c r="AA17" s="197"/>
      <c r="AB17" s="198"/>
      <c r="AC17" s="47"/>
      <c r="AD17" s="22"/>
      <c r="AE17" s="22"/>
      <c r="AF17" s="22"/>
      <c r="AG17" s="49"/>
      <c r="AH17" s="197"/>
      <c r="AI17" s="198"/>
      <c r="AJ17" s="199"/>
      <c r="AK17" s="200"/>
      <c r="AL17" s="197"/>
      <c r="AM17" s="201"/>
      <c r="AN17" s="198"/>
      <c r="AO17" s="192"/>
      <c r="AP17" s="192"/>
      <c r="AQ17" s="192"/>
      <c r="AR17" s="192"/>
      <c r="AS17" s="192"/>
      <c r="AT17" s="192"/>
      <c r="AU17" s="192"/>
      <c r="AV17" s="192"/>
      <c r="AW17" s="192"/>
      <c r="AX17" s="192"/>
      <c r="AY17" s="193"/>
    </row>
    <row r="18" spans="1:51">
      <c r="A18" s="189">
        <f t="shared" si="0"/>
        <v>7</v>
      </c>
      <c r="B18" s="190"/>
      <c r="C18" s="191" t="s">
        <v>100</v>
      </c>
      <c r="D18" s="192"/>
      <c r="E18" s="192"/>
      <c r="F18" s="192"/>
      <c r="G18" s="192"/>
      <c r="H18" s="192"/>
      <c r="I18" s="192"/>
      <c r="J18" s="192"/>
      <c r="K18" s="193"/>
      <c r="L18" s="191" t="s">
        <v>103</v>
      </c>
      <c r="M18" s="192"/>
      <c r="N18" s="192"/>
      <c r="O18" s="192"/>
      <c r="P18" s="192"/>
      <c r="Q18" s="192"/>
      <c r="R18" s="192"/>
      <c r="S18" s="193"/>
      <c r="T18" s="194" t="s">
        <v>41</v>
      </c>
      <c r="U18" s="195"/>
      <c r="V18" s="196"/>
      <c r="W18" s="197" t="s">
        <v>43</v>
      </c>
      <c r="X18" s="198"/>
      <c r="Y18" s="197">
        <v>8</v>
      </c>
      <c r="Z18" s="198"/>
      <c r="AA18" s="197"/>
      <c r="AB18" s="198"/>
      <c r="AC18" s="47"/>
      <c r="AD18" s="22"/>
      <c r="AE18" s="22"/>
      <c r="AF18" s="22"/>
      <c r="AG18" s="49"/>
      <c r="AH18" s="197"/>
      <c r="AI18" s="198"/>
      <c r="AJ18" s="199"/>
      <c r="AK18" s="200"/>
      <c r="AL18" s="197"/>
      <c r="AM18" s="201"/>
      <c r="AN18" s="198"/>
      <c r="AO18" s="192"/>
      <c r="AP18" s="192"/>
      <c r="AQ18" s="192"/>
      <c r="AR18" s="192"/>
      <c r="AS18" s="192"/>
      <c r="AT18" s="192"/>
      <c r="AU18" s="192"/>
      <c r="AV18" s="192"/>
      <c r="AW18" s="192"/>
      <c r="AX18" s="192"/>
      <c r="AY18" s="193"/>
    </row>
    <row r="19" spans="1:51">
      <c r="A19" s="189">
        <f t="shared" si="0"/>
        <v>8</v>
      </c>
      <c r="B19" s="190"/>
      <c r="C19" s="191" t="s">
        <v>101</v>
      </c>
      <c r="D19" s="192"/>
      <c r="E19" s="192"/>
      <c r="F19" s="192"/>
      <c r="G19" s="192"/>
      <c r="H19" s="192"/>
      <c r="I19" s="192"/>
      <c r="J19" s="192"/>
      <c r="K19" s="193"/>
      <c r="L19" s="191" t="s">
        <v>104</v>
      </c>
      <c r="M19" s="192"/>
      <c r="N19" s="192"/>
      <c r="O19" s="192"/>
      <c r="P19" s="192"/>
      <c r="Q19" s="192"/>
      <c r="R19" s="192"/>
      <c r="S19" s="193"/>
      <c r="T19" s="194" t="s">
        <v>40</v>
      </c>
      <c r="U19" s="195"/>
      <c r="V19" s="196"/>
      <c r="W19" s="197">
        <v>60</v>
      </c>
      <c r="X19" s="198"/>
      <c r="Y19" s="197">
        <v>60</v>
      </c>
      <c r="Z19" s="198"/>
      <c r="AA19" s="197"/>
      <c r="AB19" s="198"/>
      <c r="AC19" s="47"/>
      <c r="AD19" s="22"/>
      <c r="AE19" s="22"/>
      <c r="AF19" s="22"/>
      <c r="AG19" s="49"/>
      <c r="AH19" s="197"/>
      <c r="AI19" s="198"/>
      <c r="AJ19" s="199"/>
      <c r="AK19" s="200"/>
      <c r="AL19" s="197"/>
      <c r="AM19" s="201"/>
      <c r="AN19" s="198"/>
      <c r="AO19" s="192"/>
      <c r="AP19" s="192"/>
      <c r="AQ19" s="192"/>
      <c r="AR19" s="192"/>
      <c r="AS19" s="192"/>
      <c r="AT19" s="192"/>
      <c r="AU19" s="192"/>
      <c r="AV19" s="192"/>
      <c r="AW19" s="192"/>
      <c r="AX19" s="192"/>
      <c r="AY19" s="193"/>
    </row>
    <row r="20" spans="1:51">
      <c r="A20" s="189">
        <f t="shared" si="0"/>
        <v>9</v>
      </c>
      <c r="B20" s="190"/>
      <c r="C20" s="191" t="s">
        <v>102</v>
      </c>
      <c r="D20" s="192"/>
      <c r="E20" s="192"/>
      <c r="F20" s="192"/>
      <c r="G20" s="192"/>
      <c r="H20" s="192"/>
      <c r="I20" s="192"/>
      <c r="J20" s="192"/>
      <c r="K20" s="193"/>
      <c r="L20" s="191" t="s">
        <v>105</v>
      </c>
      <c r="M20" s="192"/>
      <c r="N20" s="192"/>
      <c r="O20" s="192"/>
      <c r="P20" s="192"/>
      <c r="Q20" s="192"/>
      <c r="R20" s="192"/>
      <c r="S20" s="193"/>
      <c r="T20" s="194" t="s">
        <v>42</v>
      </c>
      <c r="U20" s="195"/>
      <c r="V20" s="196"/>
      <c r="W20" s="197" t="s">
        <v>91</v>
      </c>
      <c r="X20" s="198"/>
      <c r="Y20" s="197">
        <v>4</v>
      </c>
      <c r="Z20" s="198"/>
      <c r="AA20" s="197"/>
      <c r="AB20" s="198"/>
      <c r="AC20" s="47"/>
      <c r="AD20" s="22"/>
      <c r="AE20" s="22"/>
      <c r="AF20" s="22"/>
      <c r="AG20" s="49"/>
      <c r="AH20" s="197"/>
      <c r="AI20" s="198"/>
      <c r="AJ20" s="199"/>
      <c r="AK20" s="200"/>
      <c r="AL20" s="197"/>
      <c r="AM20" s="201"/>
      <c r="AN20" s="198"/>
      <c r="AO20" s="192"/>
      <c r="AP20" s="192"/>
      <c r="AQ20" s="192"/>
      <c r="AR20" s="192"/>
      <c r="AS20" s="192"/>
      <c r="AT20" s="192"/>
      <c r="AU20" s="192"/>
      <c r="AV20" s="192"/>
      <c r="AW20" s="192"/>
      <c r="AX20" s="192"/>
      <c r="AY20" s="193"/>
    </row>
    <row r="21" spans="1:51">
      <c r="A21" s="189">
        <f>ROW()-11</f>
        <v>10</v>
      </c>
      <c r="B21" s="190"/>
      <c r="C21" s="191" t="s">
        <v>38</v>
      </c>
      <c r="D21" s="192"/>
      <c r="E21" s="192"/>
      <c r="F21" s="192"/>
      <c r="G21" s="192"/>
      <c r="H21" s="192"/>
      <c r="I21" s="192"/>
      <c r="J21" s="192"/>
      <c r="K21" s="193"/>
      <c r="L21" s="191" t="s">
        <v>39</v>
      </c>
      <c r="M21" s="192"/>
      <c r="N21" s="192"/>
      <c r="O21" s="192"/>
      <c r="P21" s="192"/>
      <c r="Q21" s="192"/>
      <c r="R21" s="192"/>
      <c r="S21" s="193"/>
      <c r="T21" s="194" t="s">
        <v>42</v>
      </c>
      <c r="U21" s="195"/>
      <c r="V21" s="196"/>
      <c r="W21" s="197">
        <v>1</v>
      </c>
      <c r="X21" s="198"/>
      <c r="Y21" s="197">
        <v>1</v>
      </c>
      <c r="Z21" s="198"/>
      <c r="AA21" s="197"/>
      <c r="AB21" s="198"/>
      <c r="AC21" s="47"/>
      <c r="AD21" s="22"/>
      <c r="AE21" s="22"/>
      <c r="AF21" s="22"/>
      <c r="AG21" s="49"/>
      <c r="AH21" s="197"/>
      <c r="AI21" s="198"/>
      <c r="AJ21" s="199"/>
      <c r="AK21" s="200"/>
      <c r="AL21" s="197">
        <v>0</v>
      </c>
      <c r="AM21" s="201"/>
      <c r="AN21" s="198"/>
      <c r="AO21" s="192" t="s">
        <v>44</v>
      </c>
      <c r="AP21" s="192"/>
      <c r="AQ21" s="192"/>
      <c r="AR21" s="192"/>
      <c r="AS21" s="192"/>
      <c r="AT21" s="192"/>
      <c r="AU21" s="192"/>
      <c r="AV21" s="192"/>
      <c r="AW21" s="192"/>
      <c r="AX21" s="192"/>
      <c r="AY21" s="193"/>
    </row>
    <row r="22" spans="1:51">
      <c r="A22" s="202">
        <f t="shared" si="0"/>
        <v>11</v>
      </c>
      <c r="B22" s="204"/>
      <c r="C22" s="48" t="s">
        <v>118</v>
      </c>
      <c r="D22" s="42"/>
      <c r="E22" s="42"/>
      <c r="F22" s="42"/>
      <c r="G22" s="42"/>
      <c r="H22" s="42"/>
      <c r="I22" s="42"/>
      <c r="J22" s="42"/>
      <c r="K22" s="44"/>
      <c r="L22" s="48" t="s">
        <v>118</v>
      </c>
      <c r="M22" s="42"/>
      <c r="N22" s="42"/>
      <c r="O22" s="42"/>
      <c r="P22" s="42"/>
      <c r="Q22" s="42"/>
      <c r="R22" s="42"/>
      <c r="S22" s="44"/>
      <c r="T22" s="207" t="s">
        <v>42</v>
      </c>
      <c r="U22" s="208"/>
      <c r="V22" s="209"/>
      <c r="W22" s="210" t="s">
        <v>117</v>
      </c>
      <c r="X22" s="211"/>
      <c r="Y22" s="202">
        <v>2</v>
      </c>
      <c r="Z22" s="204"/>
      <c r="AA22" s="202">
        <v>1</v>
      </c>
      <c r="AB22" s="204"/>
      <c r="AC22" s="46"/>
      <c r="AD22" s="24"/>
      <c r="AE22" s="24"/>
      <c r="AF22" s="24"/>
      <c r="AG22" s="51"/>
      <c r="AH22" s="202"/>
      <c r="AI22" s="204"/>
      <c r="AJ22" s="100" t="s">
        <v>107</v>
      </c>
      <c r="AK22" s="102"/>
      <c r="AL22" s="202"/>
      <c r="AM22" s="203"/>
      <c r="AN22" s="204"/>
      <c r="AO22" s="205"/>
      <c r="AP22" s="205"/>
      <c r="AQ22" s="205"/>
      <c r="AR22" s="205"/>
      <c r="AS22" s="205"/>
      <c r="AT22" s="205"/>
      <c r="AU22" s="205"/>
      <c r="AV22" s="205"/>
      <c r="AW22" s="205"/>
      <c r="AX22" s="205"/>
      <c r="AY22" s="206"/>
    </row>
    <row r="23" spans="1:51">
      <c r="A23" s="202">
        <f t="shared" si="0"/>
        <v>12</v>
      </c>
      <c r="B23" s="204"/>
      <c r="C23" s="48" t="s">
        <v>133</v>
      </c>
      <c r="D23" s="42"/>
      <c r="E23" s="42"/>
      <c r="F23" s="42"/>
      <c r="G23" s="42"/>
      <c r="H23" s="42"/>
      <c r="I23" s="42"/>
      <c r="J23" s="42"/>
      <c r="K23" s="44"/>
      <c r="L23" s="48" t="s">
        <v>133</v>
      </c>
      <c r="M23" s="42"/>
      <c r="N23" s="42"/>
      <c r="O23" s="42"/>
      <c r="P23" s="42"/>
      <c r="Q23" s="42"/>
      <c r="R23" s="42"/>
      <c r="S23" s="44"/>
      <c r="T23" s="207" t="s">
        <v>7</v>
      </c>
      <c r="U23" s="208"/>
      <c r="V23" s="209"/>
      <c r="W23" s="210" t="s">
        <v>112</v>
      </c>
      <c r="X23" s="211"/>
      <c r="Y23" s="210">
        <v>7</v>
      </c>
      <c r="Z23" s="211"/>
      <c r="AA23" s="202">
        <v>2</v>
      </c>
      <c r="AB23" s="204"/>
      <c r="AC23" s="45"/>
      <c r="AD23" s="23"/>
      <c r="AE23" s="23"/>
      <c r="AF23" s="23"/>
      <c r="AG23" s="50"/>
      <c r="AH23" s="202"/>
      <c r="AI23" s="204"/>
      <c r="AJ23" s="212" t="s">
        <v>107</v>
      </c>
      <c r="AK23" s="213"/>
      <c r="AL23" s="202"/>
      <c r="AM23" s="203"/>
      <c r="AN23" s="204"/>
      <c r="AO23" s="214"/>
      <c r="AP23" s="205"/>
      <c r="AQ23" s="205"/>
      <c r="AR23" s="205"/>
      <c r="AS23" s="205"/>
      <c r="AT23" s="205"/>
      <c r="AU23" s="205"/>
      <c r="AV23" s="205"/>
      <c r="AW23" s="205"/>
      <c r="AX23" s="205"/>
      <c r="AY23" s="206"/>
    </row>
    <row r="24" spans="1:51">
      <c r="A24" s="202">
        <f t="shared" si="0"/>
        <v>13</v>
      </c>
      <c r="B24" s="204"/>
      <c r="C24" s="48" t="s">
        <v>113</v>
      </c>
      <c r="D24" s="42"/>
      <c r="E24" s="42"/>
      <c r="F24" s="42"/>
      <c r="G24" s="42"/>
      <c r="H24" s="42"/>
      <c r="I24" s="42"/>
      <c r="J24" s="42"/>
      <c r="K24" s="44"/>
      <c r="L24" s="48" t="s">
        <v>113</v>
      </c>
      <c r="M24" s="42"/>
      <c r="N24" s="42"/>
      <c r="O24" s="42"/>
      <c r="P24" s="42"/>
      <c r="Q24" s="42"/>
      <c r="R24" s="42"/>
      <c r="S24" s="44"/>
      <c r="T24" s="207" t="s">
        <v>7</v>
      </c>
      <c r="U24" s="208"/>
      <c r="V24" s="209"/>
      <c r="W24" s="202" t="s">
        <v>114</v>
      </c>
      <c r="X24" s="204"/>
      <c r="Y24" s="202">
        <v>5</v>
      </c>
      <c r="Z24" s="204"/>
      <c r="AA24" s="215">
        <v>3</v>
      </c>
      <c r="AB24" s="216"/>
      <c r="AC24" s="46"/>
      <c r="AD24" s="24"/>
      <c r="AE24" s="24"/>
      <c r="AF24" s="24"/>
      <c r="AG24" s="51"/>
      <c r="AH24" s="215"/>
      <c r="AI24" s="216"/>
      <c r="AJ24" s="212" t="s">
        <v>107</v>
      </c>
      <c r="AK24" s="213"/>
      <c r="AL24" s="215"/>
      <c r="AM24" s="217"/>
      <c r="AN24" s="216"/>
      <c r="AO24" s="205"/>
      <c r="AP24" s="205"/>
      <c r="AQ24" s="205"/>
      <c r="AR24" s="205"/>
      <c r="AS24" s="205"/>
      <c r="AT24" s="205"/>
      <c r="AU24" s="205"/>
      <c r="AV24" s="205"/>
      <c r="AW24" s="205"/>
      <c r="AX24" s="205"/>
      <c r="AY24" s="206"/>
    </row>
    <row r="25" spans="1:51">
      <c r="A25" s="218">
        <f t="shared" si="0"/>
        <v>14</v>
      </c>
      <c r="B25" s="219"/>
      <c r="C25" s="48" t="s">
        <v>134</v>
      </c>
      <c r="D25" s="42"/>
      <c r="E25" s="42"/>
      <c r="F25" s="42"/>
      <c r="G25" s="42"/>
      <c r="H25" s="42"/>
      <c r="I25" s="42"/>
      <c r="J25" s="42"/>
      <c r="K25" s="44"/>
      <c r="L25" s="48" t="s">
        <v>134</v>
      </c>
      <c r="M25" s="42"/>
      <c r="N25" s="42"/>
      <c r="O25" s="42"/>
      <c r="P25" s="42"/>
      <c r="Q25" s="42"/>
      <c r="R25" s="42"/>
      <c r="S25" s="44"/>
      <c r="T25" s="207" t="s">
        <v>40</v>
      </c>
      <c r="U25" s="208"/>
      <c r="V25" s="209"/>
      <c r="W25" s="202">
        <v>10</v>
      </c>
      <c r="X25" s="204"/>
      <c r="Y25" s="220">
        <v>10</v>
      </c>
      <c r="Z25" s="221"/>
      <c r="AA25" s="220">
        <v>4</v>
      </c>
      <c r="AB25" s="221"/>
      <c r="AC25" s="45"/>
      <c r="AD25" s="23"/>
      <c r="AE25" s="23"/>
      <c r="AF25" s="23"/>
      <c r="AG25" s="50"/>
      <c r="AH25" s="220"/>
      <c r="AI25" s="221"/>
      <c r="AJ25" s="212" t="s">
        <v>107</v>
      </c>
      <c r="AK25" s="213"/>
      <c r="AL25" s="220"/>
      <c r="AM25" s="222"/>
      <c r="AN25" s="221"/>
      <c r="AO25" s="205"/>
      <c r="AP25" s="205"/>
      <c r="AQ25" s="205"/>
      <c r="AR25" s="205"/>
      <c r="AS25" s="205"/>
      <c r="AT25" s="205"/>
      <c r="AU25" s="205"/>
      <c r="AV25" s="205"/>
      <c r="AW25" s="205"/>
      <c r="AX25" s="205"/>
      <c r="AY25" s="206"/>
    </row>
    <row r="26" spans="1:51">
      <c r="A26" s="218">
        <f t="shared" si="0"/>
        <v>15</v>
      </c>
      <c r="B26" s="219"/>
      <c r="C26" s="48" t="s">
        <v>135</v>
      </c>
      <c r="D26" s="42"/>
      <c r="E26" s="42"/>
      <c r="F26" s="42"/>
      <c r="G26" s="42"/>
      <c r="H26" s="42"/>
      <c r="I26" s="42"/>
      <c r="J26" s="42"/>
      <c r="K26" s="44"/>
      <c r="L26" s="48" t="s">
        <v>135</v>
      </c>
      <c r="M26" s="42"/>
      <c r="N26" s="42"/>
      <c r="O26" s="42"/>
      <c r="P26" s="42"/>
      <c r="Q26" s="42"/>
      <c r="R26" s="42"/>
      <c r="S26" s="44"/>
      <c r="T26" s="207" t="s">
        <v>40</v>
      </c>
      <c r="U26" s="208"/>
      <c r="V26" s="209"/>
      <c r="W26" s="202">
        <v>10</v>
      </c>
      <c r="X26" s="204"/>
      <c r="Y26" s="220">
        <v>10</v>
      </c>
      <c r="Z26" s="221"/>
      <c r="AA26" s="220"/>
      <c r="AB26" s="221"/>
      <c r="AC26" s="45"/>
      <c r="AD26" s="23"/>
      <c r="AE26" s="23"/>
      <c r="AF26" s="23"/>
      <c r="AG26" s="50"/>
      <c r="AH26" s="220"/>
      <c r="AI26" s="221"/>
      <c r="AJ26" s="223"/>
      <c r="AK26" s="224"/>
      <c r="AL26" s="220"/>
      <c r="AM26" s="222"/>
      <c r="AN26" s="221"/>
      <c r="AO26" s="205"/>
      <c r="AP26" s="205"/>
      <c r="AQ26" s="205"/>
      <c r="AR26" s="205"/>
      <c r="AS26" s="205"/>
      <c r="AT26" s="205"/>
      <c r="AU26" s="205"/>
      <c r="AV26" s="205"/>
      <c r="AW26" s="205"/>
      <c r="AX26" s="205"/>
      <c r="AY26" s="206"/>
    </row>
    <row r="27" spans="1:51">
      <c r="A27" s="218">
        <f t="shared" si="0"/>
        <v>16</v>
      </c>
      <c r="B27" s="219"/>
      <c r="C27" s="48" t="s">
        <v>136</v>
      </c>
      <c r="D27" s="42"/>
      <c r="E27" s="42"/>
      <c r="F27" s="42"/>
      <c r="G27" s="42"/>
      <c r="H27" s="42"/>
      <c r="I27" s="42"/>
      <c r="J27" s="42"/>
      <c r="K27" s="44"/>
      <c r="L27" s="48" t="s">
        <v>136</v>
      </c>
      <c r="M27" s="42"/>
      <c r="N27" s="42"/>
      <c r="O27" s="42"/>
      <c r="P27" s="42"/>
      <c r="Q27" s="42"/>
      <c r="R27" s="42"/>
      <c r="S27" s="44"/>
      <c r="T27" s="207" t="s">
        <v>42</v>
      </c>
      <c r="U27" s="208"/>
      <c r="V27" s="209"/>
      <c r="W27" s="202" t="s">
        <v>121</v>
      </c>
      <c r="X27" s="204"/>
      <c r="Y27" s="220">
        <v>9</v>
      </c>
      <c r="Z27" s="221"/>
      <c r="AA27" s="220"/>
      <c r="AB27" s="221"/>
      <c r="AC27" s="45"/>
      <c r="AD27" s="23"/>
      <c r="AE27" s="23"/>
      <c r="AF27" s="23"/>
      <c r="AG27" s="50"/>
      <c r="AH27" s="220"/>
      <c r="AI27" s="221"/>
      <c r="AJ27" s="223"/>
      <c r="AK27" s="224"/>
      <c r="AL27" s="220"/>
      <c r="AM27" s="222"/>
      <c r="AN27" s="221"/>
      <c r="AO27" s="205"/>
      <c r="AP27" s="205"/>
      <c r="AQ27" s="205"/>
      <c r="AR27" s="205"/>
      <c r="AS27" s="205"/>
      <c r="AT27" s="205"/>
      <c r="AU27" s="205"/>
      <c r="AV27" s="205"/>
      <c r="AW27" s="205"/>
      <c r="AX27" s="205"/>
      <c r="AY27" s="206"/>
    </row>
    <row r="28" spans="1:51">
      <c r="A28" s="218">
        <f t="shared" si="0"/>
        <v>17</v>
      </c>
      <c r="B28" s="219"/>
      <c r="C28" s="48"/>
      <c r="D28" s="42"/>
      <c r="E28" s="42"/>
      <c r="F28" s="42"/>
      <c r="G28" s="42"/>
      <c r="H28" s="42"/>
      <c r="I28" s="42"/>
      <c r="J28" s="42"/>
      <c r="K28" s="44"/>
      <c r="L28" s="48"/>
      <c r="M28" s="42"/>
      <c r="N28" s="42"/>
      <c r="O28" s="42"/>
      <c r="P28" s="42"/>
      <c r="Q28" s="42"/>
      <c r="R28" s="42"/>
      <c r="S28" s="44"/>
      <c r="T28" s="207"/>
      <c r="U28" s="208"/>
      <c r="V28" s="209"/>
      <c r="W28" s="202"/>
      <c r="X28" s="204"/>
      <c r="Y28" s="220"/>
      <c r="Z28" s="221"/>
      <c r="AA28" s="220"/>
      <c r="AB28" s="221"/>
      <c r="AC28" s="45"/>
      <c r="AD28" s="23"/>
      <c r="AE28" s="23"/>
      <c r="AF28" s="23"/>
      <c r="AG28" s="50"/>
      <c r="AH28" s="220"/>
      <c r="AI28" s="221"/>
      <c r="AJ28" s="223"/>
      <c r="AK28" s="224"/>
      <c r="AL28" s="220"/>
      <c r="AM28" s="222"/>
      <c r="AN28" s="221"/>
      <c r="AO28" s="205"/>
      <c r="AP28" s="205"/>
      <c r="AQ28" s="205"/>
      <c r="AR28" s="205"/>
      <c r="AS28" s="205"/>
      <c r="AT28" s="205"/>
      <c r="AU28" s="205"/>
      <c r="AV28" s="205"/>
      <c r="AW28" s="205"/>
      <c r="AX28" s="205"/>
      <c r="AY28" s="206"/>
    </row>
    <row r="29" spans="1:51">
      <c r="A29" s="218">
        <f t="shared" si="0"/>
        <v>18</v>
      </c>
      <c r="B29" s="219"/>
      <c r="C29" s="48"/>
      <c r="D29" s="42"/>
      <c r="E29" s="42"/>
      <c r="F29" s="42"/>
      <c r="G29" s="42"/>
      <c r="H29" s="42"/>
      <c r="I29" s="42"/>
      <c r="J29" s="42"/>
      <c r="K29" s="44"/>
      <c r="L29" s="48"/>
      <c r="M29" s="42"/>
      <c r="N29" s="42"/>
      <c r="O29" s="42"/>
      <c r="P29" s="42"/>
      <c r="Q29" s="42"/>
      <c r="R29" s="42"/>
      <c r="S29" s="44"/>
      <c r="T29" s="207"/>
      <c r="U29" s="208"/>
      <c r="V29" s="209"/>
      <c r="W29" s="202"/>
      <c r="X29" s="204"/>
      <c r="Y29" s="220"/>
      <c r="Z29" s="221"/>
      <c r="AA29" s="215"/>
      <c r="AB29" s="216"/>
      <c r="AC29" s="46"/>
      <c r="AD29" s="24"/>
      <c r="AE29" s="24"/>
      <c r="AF29" s="24"/>
      <c r="AG29" s="51"/>
      <c r="AH29" s="215"/>
      <c r="AI29" s="216"/>
      <c r="AJ29" s="212"/>
      <c r="AK29" s="213"/>
      <c r="AL29" s="215"/>
      <c r="AM29" s="217"/>
      <c r="AN29" s="216"/>
      <c r="AO29" s="205"/>
      <c r="AP29" s="205"/>
      <c r="AQ29" s="205"/>
      <c r="AR29" s="205"/>
      <c r="AS29" s="205"/>
      <c r="AT29" s="205"/>
      <c r="AU29" s="205"/>
      <c r="AV29" s="205"/>
      <c r="AW29" s="205"/>
      <c r="AX29" s="205"/>
      <c r="AY29" s="206"/>
    </row>
    <row r="30" spans="1:51">
      <c r="A30" s="202">
        <f t="shared" si="0"/>
        <v>19</v>
      </c>
      <c r="B30" s="204"/>
      <c r="C30" s="48"/>
      <c r="D30" s="42"/>
      <c r="E30" s="42"/>
      <c r="F30" s="42"/>
      <c r="G30" s="42"/>
      <c r="H30" s="42"/>
      <c r="I30" s="42"/>
      <c r="J30" s="42"/>
      <c r="K30" s="44"/>
      <c r="L30" s="48"/>
      <c r="M30" s="42"/>
      <c r="N30" s="42"/>
      <c r="O30" s="42"/>
      <c r="P30" s="42"/>
      <c r="Q30" s="42"/>
      <c r="R30" s="42"/>
      <c r="S30" s="44"/>
      <c r="T30" s="207"/>
      <c r="U30" s="208"/>
      <c r="V30" s="209"/>
      <c r="W30" s="202"/>
      <c r="X30" s="204"/>
      <c r="Y30" s="220"/>
      <c r="Z30" s="221"/>
      <c r="AA30" s="215"/>
      <c r="AB30" s="216"/>
      <c r="AC30" s="46"/>
      <c r="AD30" s="24"/>
      <c r="AE30" s="24"/>
      <c r="AF30" s="24"/>
      <c r="AG30" s="51"/>
      <c r="AH30" s="215"/>
      <c r="AI30" s="216"/>
      <c r="AJ30" s="212"/>
      <c r="AK30" s="213"/>
      <c r="AL30" s="215"/>
      <c r="AM30" s="217"/>
      <c r="AN30" s="216"/>
      <c r="AO30" s="205"/>
      <c r="AP30" s="205"/>
      <c r="AQ30" s="205"/>
      <c r="AR30" s="205"/>
      <c r="AS30" s="205"/>
      <c r="AT30" s="205"/>
      <c r="AU30" s="205"/>
      <c r="AV30" s="205"/>
      <c r="AW30" s="205"/>
      <c r="AX30" s="205"/>
      <c r="AY30" s="206"/>
    </row>
    <row r="31" spans="1:51">
      <c r="A31" s="202">
        <f t="shared" si="0"/>
        <v>20</v>
      </c>
      <c r="B31" s="204"/>
      <c r="C31" s="48"/>
      <c r="D31" s="42"/>
      <c r="E31" s="42"/>
      <c r="F31" s="42"/>
      <c r="G31" s="42"/>
      <c r="H31" s="42"/>
      <c r="I31" s="42"/>
      <c r="J31" s="42"/>
      <c r="K31" s="44"/>
      <c r="L31" s="48"/>
      <c r="M31" s="42"/>
      <c r="N31" s="42"/>
      <c r="O31" s="42"/>
      <c r="P31" s="42"/>
      <c r="Q31" s="42"/>
      <c r="R31" s="42"/>
      <c r="S31" s="44"/>
      <c r="T31" s="207"/>
      <c r="U31" s="208"/>
      <c r="V31" s="209"/>
      <c r="W31" s="202"/>
      <c r="X31" s="204"/>
      <c r="Y31" s="220"/>
      <c r="Z31" s="221"/>
      <c r="AA31" s="215"/>
      <c r="AB31" s="216"/>
      <c r="AC31" s="46"/>
      <c r="AD31" s="24"/>
      <c r="AE31" s="24"/>
      <c r="AF31" s="24"/>
      <c r="AG31" s="51"/>
      <c r="AH31" s="215"/>
      <c r="AI31" s="216"/>
      <c r="AJ31" s="212"/>
      <c r="AK31" s="213"/>
      <c r="AL31" s="215"/>
      <c r="AM31" s="217"/>
      <c r="AN31" s="216"/>
      <c r="AO31" s="205"/>
      <c r="AP31" s="205"/>
      <c r="AQ31" s="205"/>
      <c r="AR31" s="205"/>
      <c r="AS31" s="205"/>
      <c r="AT31" s="205"/>
      <c r="AU31" s="205"/>
      <c r="AV31" s="205"/>
      <c r="AW31" s="205"/>
      <c r="AX31" s="205"/>
      <c r="AY31" s="206"/>
    </row>
    <row r="32" spans="1:51">
      <c r="A32" s="218">
        <f t="shared" si="0"/>
        <v>21</v>
      </c>
      <c r="B32" s="219"/>
      <c r="C32" s="48"/>
      <c r="D32" s="42"/>
      <c r="E32" s="42"/>
      <c r="F32" s="42"/>
      <c r="G32" s="42"/>
      <c r="H32" s="42"/>
      <c r="I32" s="42"/>
      <c r="J32" s="42"/>
      <c r="K32" s="44"/>
      <c r="L32" s="48"/>
      <c r="M32" s="42"/>
      <c r="N32" s="42"/>
      <c r="O32" s="42"/>
      <c r="P32" s="42"/>
      <c r="Q32" s="42"/>
      <c r="R32" s="42"/>
      <c r="S32" s="44"/>
      <c r="T32" s="207"/>
      <c r="U32" s="208"/>
      <c r="V32" s="209"/>
      <c r="W32" s="202"/>
      <c r="X32" s="204"/>
      <c r="Y32" s="220"/>
      <c r="Z32" s="221"/>
      <c r="AA32" s="215"/>
      <c r="AB32" s="216"/>
      <c r="AC32" s="46"/>
      <c r="AD32" s="24"/>
      <c r="AE32" s="24"/>
      <c r="AF32" s="24"/>
      <c r="AG32" s="51"/>
      <c r="AH32" s="215"/>
      <c r="AI32" s="216"/>
      <c r="AJ32" s="212"/>
      <c r="AK32" s="213"/>
      <c r="AL32" s="215"/>
      <c r="AM32" s="217"/>
      <c r="AN32" s="216"/>
      <c r="AO32" s="205"/>
      <c r="AP32" s="205"/>
      <c r="AQ32" s="205"/>
      <c r="AR32" s="205"/>
      <c r="AS32" s="205"/>
      <c r="AT32" s="205"/>
      <c r="AU32" s="205"/>
      <c r="AV32" s="205"/>
      <c r="AW32" s="205"/>
      <c r="AX32" s="205"/>
      <c r="AY32" s="206"/>
    </row>
    <row r="33" spans="1:51">
      <c r="A33" s="202">
        <f t="shared" si="0"/>
        <v>22</v>
      </c>
      <c r="B33" s="204"/>
      <c r="C33" s="48"/>
      <c r="D33" s="42"/>
      <c r="E33" s="42"/>
      <c r="F33" s="42"/>
      <c r="G33" s="42"/>
      <c r="H33" s="42"/>
      <c r="I33" s="42"/>
      <c r="J33" s="42"/>
      <c r="K33" s="44"/>
      <c r="L33" s="48"/>
      <c r="M33" s="42"/>
      <c r="N33" s="42"/>
      <c r="O33" s="42"/>
      <c r="P33" s="42"/>
      <c r="Q33" s="42"/>
      <c r="R33" s="42"/>
      <c r="S33" s="44"/>
      <c r="T33" s="207"/>
      <c r="U33" s="208"/>
      <c r="V33" s="209"/>
      <c r="W33" s="202"/>
      <c r="X33" s="204"/>
      <c r="Y33" s="220"/>
      <c r="Z33" s="221"/>
      <c r="AA33" s="215"/>
      <c r="AB33" s="216"/>
      <c r="AC33" s="46"/>
      <c r="AD33" s="24"/>
      <c r="AE33" s="24"/>
      <c r="AF33" s="24"/>
      <c r="AG33" s="51"/>
      <c r="AH33" s="215"/>
      <c r="AI33" s="216"/>
      <c r="AJ33" s="212"/>
      <c r="AK33" s="213"/>
      <c r="AL33" s="215"/>
      <c r="AM33" s="217"/>
      <c r="AN33" s="216"/>
      <c r="AO33" s="205"/>
      <c r="AP33" s="205"/>
      <c r="AQ33" s="205"/>
      <c r="AR33" s="205"/>
      <c r="AS33" s="205"/>
      <c r="AT33" s="205"/>
      <c r="AU33" s="205"/>
      <c r="AV33" s="205"/>
      <c r="AW33" s="205"/>
      <c r="AX33" s="205"/>
      <c r="AY33" s="206"/>
    </row>
    <row r="34" spans="1:51">
      <c r="A34" s="218">
        <f t="shared" si="0"/>
        <v>23</v>
      </c>
      <c r="B34" s="219"/>
      <c r="C34" s="48"/>
      <c r="D34" s="42"/>
      <c r="E34" s="42"/>
      <c r="F34" s="42"/>
      <c r="G34" s="42"/>
      <c r="H34" s="42"/>
      <c r="I34" s="42"/>
      <c r="J34" s="42"/>
      <c r="K34" s="44"/>
      <c r="L34" s="48"/>
      <c r="M34" s="42"/>
      <c r="N34" s="42"/>
      <c r="O34" s="42"/>
      <c r="P34" s="42"/>
      <c r="Q34" s="42"/>
      <c r="R34" s="42"/>
      <c r="S34" s="44"/>
      <c r="T34" s="207"/>
      <c r="U34" s="208"/>
      <c r="V34" s="209"/>
      <c r="W34" s="202"/>
      <c r="X34" s="204"/>
      <c r="Y34" s="220"/>
      <c r="Z34" s="221"/>
      <c r="AA34" s="215"/>
      <c r="AB34" s="216"/>
      <c r="AC34" s="46"/>
      <c r="AD34" s="24"/>
      <c r="AE34" s="24"/>
      <c r="AF34" s="24"/>
      <c r="AG34" s="51"/>
      <c r="AH34" s="215"/>
      <c r="AI34" s="216"/>
      <c r="AJ34" s="212"/>
      <c r="AK34" s="213"/>
      <c r="AL34" s="215"/>
      <c r="AM34" s="217"/>
      <c r="AN34" s="216"/>
      <c r="AO34" s="205"/>
      <c r="AP34" s="205"/>
      <c r="AQ34" s="205"/>
      <c r="AR34" s="205"/>
      <c r="AS34" s="205"/>
      <c r="AT34" s="205"/>
      <c r="AU34" s="205"/>
      <c r="AV34" s="205"/>
      <c r="AW34" s="205"/>
      <c r="AX34" s="205"/>
      <c r="AY34" s="206"/>
    </row>
    <row r="35" spans="1:51">
      <c r="A35" s="218">
        <f t="shared" si="0"/>
        <v>24</v>
      </c>
      <c r="B35" s="219"/>
      <c r="C35" s="48"/>
      <c r="D35" s="42"/>
      <c r="E35" s="42"/>
      <c r="F35" s="42"/>
      <c r="G35" s="42"/>
      <c r="H35" s="42"/>
      <c r="I35" s="42"/>
      <c r="J35" s="42"/>
      <c r="K35" s="44"/>
      <c r="L35" s="48"/>
      <c r="M35" s="42"/>
      <c r="N35" s="42"/>
      <c r="O35" s="42"/>
      <c r="P35" s="42"/>
      <c r="Q35" s="42"/>
      <c r="R35" s="42"/>
      <c r="S35" s="44"/>
      <c r="T35" s="207"/>
      <c r="U35" s="208"/>
      <c r="V35" s="209"/>
      <c r="W35" s="202"/>
      <c r="X35" s="204"/>
      <c r="Y35" s="220"/>
      <c r="Z35" s="221"/>
      <c r="AA35" s="215"/>
      <c r="AB35" s="216"/>
      <c r="AC35" s="46"/>
      <c r="AD35" s="24"/>
      <c r="AE35" s="24"/>
      <c r="AF35" s="24"/>
      <c r="AG35" s="51"/>
      <c r="AH35" s="215"/>
      <c r="AI35" s="216"/>
      <c r="AJ35" s="212"/>
      <c r="AK35" s="213"/>
      <c r="AL35" s="215"/>
      <c r="AM35" s="217"/>
      <c r="AN35" s="216"/>
      <c r="AO35" s="205"/>
      <c r="AP35" s="205"/>
      <c r="AQ35" s="205"/>
      <c r="AR35" s="205"/>
      <c r="AS35" s="205"/>
      <c r="AT35" s="205"/>
      <c r="AU35" s="205"/>
      <c r="AV35" s="205"/>
      <c r="AW35" s="205"/>
      <c r="AX35" s="205"/>
      <c r="AY35" s="206"/>
    </row>
    <row r="36" spans="1:51">
      <c r="A36" s="202">
        <f t="shared" si="0"/>
        <v>25</v>
      </c>
      <c r="B36" s="204"/>
      <c r="C36" s="48"/>
      <c r="D36" s="42"/>
      <c r="E36" s="42"/>
      <c r="F36" s="42"/>
      <c r="G36" s="42"/>
      <c r="H36" s="42"/>
      <c r="I36" s="42"/>
      <c r="J36" s="42"/>
      <c r="K36" s="44"/>
      <c r="L36" s="48"/>
      <c r="M36" s="42"/>
      <c r="N36" s="42"/>
      <c r="O36" s="42"/>
      <c r="P36" s="42"/>
      <c r="Q36" s="42"/>
      <c r="R36" s="42"/>
      <c r="S36" s="44"/>
      <c r="T36" s="207"/>
      <c r="U36" s="208"/>
      <c r="V36" s="209"/>
      <c r="W36" s="202"/>
      <c r="X36" s="204"/>
      <c r="Y36" s="220"/>
      <c r="Z36" s="221"/>
      <c r="AA36" s="215"/>
      <c r="AB36" s="216"/>
      <c r="AC36" s="46"/>
      <c r="AD36" s="24"/>
      <c r="AE36" s="24"/>
      <c r="AF36" s="24"/>
      <c r="AG36" s="51"/>
      <c r="AH36" s="215"/>
      <c r="AI36" s="216"/>
      <c r="AJ36" s="212"/>
      <c r="AK36" s="213"/>
      <c r="AL36" s="215"/>
      <c r="AM36" s="217"/>
      <c r="AN36" s="216"/>
      <c r="AO36" s="205"/>
      <c r="AP36" s="205"/>
      <c r="AQ36" s="205"/>
      <c r="AR36" s="205"/>
      <c r="AS36" s="205"/>
      <c r="AT36" s="205"/>
      <c r="AU36" s="205"/>
      <c r="AV36" s="205"/>
      <c r="AW36" s="205"/>
      <c r="AX36" s="205"/>
      <c r="AY36" s="206"/>
    </row>
    <row r="37" spans="1:51">
      <c r="A37" s="202">
        <f t="shared" si="0"/>
        <v>26</v>
      </c>
      <c r="B37" s="204"/>
      <c r="C37" s="48"/>
      <c r="D37" s="42"/>
      <c r="E37" s="42"/>
      <c r="F37" s="42"/>
      <c r="G37" s="42"/>
      <c r="H37" s="42"/>
      <c r="I37" s="42"/>
      <c r="J37" s="42"/>
      <c r="K37" s="44"/>
      <c r="L37" s="48"/>
      <c r="M37" s="42"/>
      <c r="N37" s="42"/>
      <c r="O37" s="42"/>
      <c r="P37" s="42"/>
      <c r="Q37" s="42"/>
      <c r="R37" s="42"/>
      <c r="S37" s="44"/>
      <c r="T37" s="207"/>
      <c r="U37" s="208"/>
      <c r="V37" s="209"/>
      <c r="W37" s="202"/>
      <c r="X37" s="204"/>
      <c r="Y37" s="220"/>
      <c r="Z37" s="221"/>
      <c r="AA37" s="215"/>
      <c r="AB37" s="216"/>
      <c r="AC37" s="46"/>
      <c r="AD37" s="24"/>
      <c r="AE37" s="24"/>
      <c r="AF37" s="24"/>
      <c r="AG37" s="51"/>
      <c r="AH37" s="215"/>
      <c r="AI37" s="216"/>
      <c r="AJ37" s="212"/>
      <c r="AK37" s="213"/>
      <c r="AL37" s="215"/>
      <c r="AM37" s="217"/>
      <c r="AN37" s="216"/>
      <c r="AO37" s="205"/>
      <c r="AP37" s="205"/>
      <c r="AQ37" s="205"/>
      <c r="AR37" s="205"/>
      <c r="AS37" s="205"/>
      <c r="AT37" s="205"/>
      <c r="AU37" s="205"/>
      <c r="AV37" s="205"/>
      <c r="AW37" s="205"/>
      <c r="AX37" s="205"/>
      <c r="AY37" s="206"/>
    </row>
    <row r="38" spans="1:51">
      <c r="A38" s="202">
        <f t="shared" si="0"/>
        <v>27</v>
      </c>
      <c r="B38" s="204"/>
      <c r="C38" s="48"/>
      <c r="D38" s="42"/>
      <c r="E38" s="42"/>
      <c r="F38" s="42"/>
      <c r="G38" s="42"/>
      <c r="H38" s="42"/>
      <c r="I38" s="42"/>
      <c r="J38" s="42"/>
      <c r="K38" s="44"/>
      <c r="L38" s="48"/>
      <c r="M38" s="42"/>
      <c r="N38" s="42"/>
      <c r="O38" s="42"/>
      <c r="P38" s="42"/>
      <c r="Q38" s="42"/>
      <c r="R38" s="42"/>
      <c r="S38" s="44"/>
      <c r="T38" s="207"/>
      <c r="U38" s="208"/>
      <c r="V38" s="209"/>
      <c r="W38" s="202"/>
      <c r="X38" s="204"/>
      <c r="Y38" s="220"/>
      <c r="Z38" s="221"/>
      <c r="AA38" s="215"/>
      <c r="AB38" s="216"/>
      <c r="AC38" s="46"/>
      <c r="AD38" s="24"/>
      <c r="AE38" s="24"/>
      <c r="AF38" s="24"/>
      <c r="AG38" s="51"/>
      <c r="AH38" s="215"/>
      <c r="AI38" s="216"/>
      <c r="AJ38" s="212"/>
      <c r="AK38" s="213"/>
      <c r="AL38" s="215"/>
      <c r="AM38" s="217"/>
      <c r="AN38" s="216"/>
      <c r="AO38" s="205"/>
      <c r="AP38" s="205"/>
      <c r="AQ38" s="205"/>
      <c r="AR38" s="205"/>
      <c r="AS38" s="205"/>
      <c r="AT38" s="205"/>
      <c r="AU38" s="205"/>
      <c r="AV38" s="205"/>
      <c r="AW38" s="205"/>
      <c r="AX38" s="205"/>
      <c r="AY38" s="206"/>
    </row>
    <row r="39" spans="1:51">
      <c r="A39" s="202">
        <f t="shared" si="0"/>
        <v>28</v>
      </c>
      <c r="B39" s="204"/>
      <c r="C39" s="48"/>
      <c r="D39" s="42"/>
      <c r="E39" s="42"/>
      <c r="F39" s="42"/>
      <c r="G39" s="42"/>
      <c r="H39" s="42"/>
      <c r="I39" s="42"/>
      <c r="J39" s="42"/>
      <c r="K39" s="44"/>
      <c r="L39" s="48"/>
      <c r="M39" s="42"/>
      <c r="N39" s="42"/>
      <c r="O39" s="42"/>
      <c r="P39" s="42"/>
      <c r="Q39" s="42"/>
      <c r="R39" s="42"/>
      <c r="S39" s="44"/>
      <c r="T39" s="207"/>
      <c r="U39" s="208"/>
      <c r="V39" s="209"/>
      <c r="W39" s="202"/>
      <c r="X39" s="204"/>
      <c r="Y39" s="220"/>
      <c r="Z39" s="221"/>
      <c r="AA39" s="215"/>
      <c r="AB39" s="216"/>
      <c r="AC39" s="46"/>
      <c r="AD39" s="24"/>
      <c r="AE39" s="24"/>
      <c r="AF39" s="24"/>
      <c r="AG39" s="51"/>
      <c r="AH39" s="215"/>
      <c r="AI39" s="216"/>
      <c r="AJ39" s="212"/>
      <c r="AK39" s="213"/>
      <c r="AL39" s="215"/>
      <c r="AM39" s="217"/>
      <c r="AN39" s="216"/>
      <c r="AO39" s="205"/>
      <c r="AP39" s="205"/>
      <c r="AQ39" s="205"/>
      <c r="AR39" s="205"/>
      <c r="AS39" s="205"/>
      <c r="AT39" s="205"/>
      <c r="AU39" s="205"/>
      <c r="AV39" s="205"/>
      <c r="AW39" s="205"/>
      <c r="AX39" s="205"/>
      <c r="AY39" s="206"/>
    </row>
    <row r="40" spans="1:51">
      <c r="A40" s="202">
        <f t="shared" si="0"/>
        <v>29</v>
      </c>
      <c r="B40" s="204"/>
      <c r="C40" s="48"/>
      <c r="D40" s="42"/>
      <c r="E40" s="42"/>
      <c r="F40" s="42"/>
      <c r="G40" s="42"/>
      <c r="H40" s="42"/>
      <c r="I40" s="42"/>
      <c r="J40" s="42"/>
      <c r="K40" s="44"/>
      <c r="L40" s="48"/>
      <c r="M40" s="42"/>
      <c r="N40" s="42"/>
      <c r="O40" s="42"/>
      <c r="P40" s="42"/>
      <c r="Q40" s="42"/>
      <c r="R40" s="42"/>
      <c r="S40" s="44"/>
      <c r="T40" s="207"/>
      <c r="U40" s="208"/>
      <c r="V40" s="209"/>
      <c r="W40" s="202"/>
      <c r="X40" s="204"/>
      <c r="Y40" s="220"/>
      <c r="Z40" s="221"/>
      <c r="AA40" s="215"/>
      <c r="AB40" s="216"/>
      <c r="AC40" s="46"/>
      <c r="AD40" s="24"/>
      <c r="AE40" s="24"/>
      <c r="AF40" s="24"/>
      <c r="AG40" s="51"/>
      <c r="AH40" s="215"/>
      <c r="AI40" s="216"/>
      <c r="AJ40" s="212"/>
      <c r="AK40" s="213"/>
      <c r="AL40" s="215"/>
      <c r="AM40" s="217"/>
      <c r="AN40" s="216"/>
      <c r="AO40" s="205"/>
      <c r="AP40" s="205"/>
      <c r="AQ40" s="205"/>
      <c r="AR40" s="205"/>
      <c r="AS40" s="205"/>
      <c r="AT40" s="205"/>
      <c r="AU40" s="205"/>
      <c r="AV40" s="205"/>
      <c r="AW40" s="205"/>
      <c r="AX40" s="205"/>
      <c r="AY40" s="206"/>
    </row>
    <row r="41" spans="1:51">
      <c r="A41" s="202">
        <f t="shared" si="0"/>
        <v>30</v>
      </c>
      <c r="B41" s="204"/>
      <c r="C41" s="48"/>
      <c r="D41" s="42"/>
      <c r="E41" s="42"/>
      <c r="F41" s="42"/>
      <c r="G41" s="42"/>
      <c r="H41" s="42"/>
      <c r="I41" s="42"/>
      <c r="J41" s="42"/>
      <c r="K41" s="44"/>
      <c r="L41" s="48"/>
      <c r="M41" s="42"/>
      <c r="N41" s="42"/>
      <c r="O41" s="42"/>
      <c r="P41" s="42"/>
      <c r="Q41" s="42"/>
      <c r="R41" s="42"/>
      <c r="S41" s="44"/>
      <c r="T41" s="207"/>
      <c r="U41" s="208"/>
      <c r="V41" s="209"/>
      <c r="W41" s="202"/>
      <c r="X41" s="204"/>
      <c r="Y41" s="220"/>
      <c r="Z41" s="221"/>
      <c r="AA41" s="215"/>
      <c r="AB41" s="216"/>
      <c r="AC41" s="46"/>
      <c r="AD41" s="24"/>
      <c r="AE41" s="24"/>
      <c r="AF41" s="24"/>
      <c r="AG41" s="51"/>
      <c r="AH41" s="215"/>
      <c r="AI41" s="216"/>
      <c r="AJ41" s="212"/>
      <c r="AK41" s="213"/>
      <c r="AL41" s="215"/>
      <c r="AM41" s="217"/>
      <c r="AN41" s="216"/>
      <c r="AO41" s="205"/>
      <c r="AP41" s="205"/>
      <c r="AQ41" s="205"/>
      <c r="AR41" s="205"/>
      <c r="AS41" s="205"/>
      <c r="AT41" s="205"/>
      <c r="AU41" s="205"/>
      <c r="AV41" s="205"/>
      <c r="AW41" s="205"/>
      <c r="AX41" s="205"/>
      <c r="AY41" s="206"/>
    </row>
    <row r="42" spans="1:51">
      <c r="A42" s="202">
        <f t="shared" si="0"/>
        <v>31</v>
      </c>
      <c r="B42" s="204"/>
      <c r="C42" s="48"/>
      <c r="D42" s="42"/>
      <c r="E42" s="42"/>
      <c r="F42" s="42"/>
      <c r="G42" s="42"/>
      <c r="H42" s="42"/>
      <c r="I42" s="42"/>
      <c r="J42" s="42"/>
      <c r="K42" s="44"/>
      <c r="L42" s="48"/>
      <c r="M42" s="42"/>
      <c r="N42" s="42"/>
      <c r="O42" s="42"/>
      <c r="P42" s="42"/>
      <c r="Q42" s="42"/>
      <c r="R42" s="42"/>
      <c r="S42" s="44"/>
      <c r="T42" s="207"/>
      <c r="U42" s="208"/>
      <c r="V42" s="209"/>
      <c r="W42" s="202"/>
      <c r="X42" s="204"/>
      <c r="Y42" s="220"/>
      <c r="Z42" s="221"/>
      <c r="AA42" s="215"/>
      <c r="AB42" s="216"/>
      <c r="AC42" s="46"/>
      <c r="AD42" s="24"/>
      <c r="AE42" s="24"/>
      <c r="AF42" s="24"/>
      <c r="AG42" s="51"/>
      <c r="AH42" s="215"/>
      <c r="AI42" s="216"/>
      <c r="AJ42" s="212"/>
      <c r="AK42" s="213"/>
      <c r="AL42" s="215"/>
      <c r="AM42" s="217"/>
      <c r="AN42" s="216"/>
      <c r="AO42" s="205"/>
      <c r="AP42" s="205"/>
      <c r="AQ42" s="205"/>
      <c r="AR42" s="205"/>
      <c r="AS42" s="205"/>
      <c r="AT42" s="205"/>
      <c r="AU42" s="205"/>
      <c r="AV42" s="205"/>
      <c r="AW42" s="205"/>
      <c r="AX42" s="205"/>
      <c r="AY42" s="206"/>
    </row>
    <row r="43" spans="1:51">
      <c r="A43" s="202">
        <f t="shared" si="0"/>
        <v>32</v>
      </c>
      <c r="B43" s="204"/>
      <c r="C43" s="48"/>
      <c r="D43" s="42"/>
      <c r="E43" s="42"/>
      <c r="F43" s="42"/>
      <c r="G43" s="42"/>
      <c r="H43" s="42"/>
      <c r="I43" s="42"/>
      <c r="J43" s="42"/>
      <c r="K43" s="44"/>
      <c r="L43" s="48"/>
      <c r="M43" s="42"/>
      <c r="N43" s="42"/>
      <c r="O43" s="42"/>
      <c r="P43" s="42"/>
      <c r="Q43" s="42"/>
      <c r="R43" s="42"/>
      <c r="S43" s="44"/>
      <c r="T43" s="207"/>
      <c r="U43" s="208"/>
      <c r="V43" s="209"/>
      <c r="W43" s="202"/>
      <c r="X43" s="204"/>
      <c r="Y43" s="215"/>
      <c r="Z43" s="216"/>
      <c r="AA43" s="215"/>
      <c r="AB43" s="216"/>
      <c r="AC43" s="46"/>
      <c r="AD43" s="24"/>
      <c r="AE43" s="24"/>
      <c r="AF43" s="24"/>
      <c r="AG43" s="51"/>
      <c r="AH43" s="215"/>
      <c r="AI43" s="216"/>
      <c r="AJ43" s="212"/>
      <c r="AK43" s="213"/>
      <c r="AL43" s="215"/>
      <c r="AM43" s="217"/>
      <c r="AN43" s="216"/>
      <c r="AO43" s="205"/>
      <c r="AP43" s="205"/>
      <c r="AQ43" s="205"/>
      <c r="AR43" s="205"/>
      <c r="AS43" s="205"/>
      <c r="AT43" s="205"/>
      <c r="AU43" s="205"/>
      <c r="AV43" s="205"/>
      <c r="AW43" s="205"/>
      <c r="AX43" s="205"/>
      <c r="AY43" s="206"/>
    </row>
    <row r="44" spans="1:51">
      <c r="A44" s="210">
        <f t="shared" si="0"/>
        <v>33</v>
      </c>
      <c r="B44" s="211"/>
      <c r="C44" s="48"/>
      <c r="D44" s="42"/>
      <c r="E44" s="42"/>
      <c r="F44" s="42"/>
      <c r="G44" s="42"/>
      <c r="H44" s="42"/>
      <c r="I44" s="42"/>
      <c r="J44" s="42"/>
      <c r="K44" s="44"/>
      <c r="L44" s="48"/>
      <c r="M44" s="42"/>
      <c r="N44" s="42"/>
      <c r="O44" s="42"/>
      <c r="P44" s="42"/>
      <c r="Q44" s="42"/>
      <c r="R44" s="42"/>
      <c r="S44" s="44"/>
      <c r="T44" s="207"/>
      <c r="U44" s="208"/>
      <c r="V44" s="209"/>
      <c r="W44" s="220"/>
      <c r="X44" s="221"/>
      <c r="Y44" s="225"/>
      <c r="Z44" s="226"/>
      <c r="AA44" s="225"/>
      <c r="AB44" s="226"/>
      <c r="AC44" s="43"/>
      <c r="AD44" s="10"/>
      <c r="AE44" s="10"/>
      <c r="AF44" s="10"/>
      <c r="AG44" s="52"/>
      <c r="AH44" s="225"/>
      <c r="AI44" s="226"/>
      <c r="AJ44" s="227"/>
      <c r="AK44" s="228"/>
      <c r="AL44" s="225"/>
      <c r="AM44" s="229"/>
      <c r="AN44" s="226"/>
      <c r="AO44" s="230"/>
      <c r="AP44" s="230"/>
      <c r="AQ44" s="230"/>
      <c r="AR44" s="230"/>
      <c r="AS44" s="230"/>
      <c r="AT44" s="230"/>
      <c r="AU44" s="230"/>
      <c r="AV44" s="230"/>
      <c r="AW44" s="230"/>
      <c r="AX44" s="230"/>
      <c r="AY44" s="231"/>
    </row>
    <row r="45" spans="1:51">
      <c r="A45" s="210">
        <f t="shared" si="0"/>
        <v>34</v>
      </c>
      <c r="B45" s="211"/>
      <c r="C45" s="48"/>
      <c r="D45" s="42"/>
      <c r="E45" s="42"/>
      <c r="F45" s="42"/>
      <c r="G45" s="42"/>
      <c r="H45" s="42"/>
      <c r="I45" s="42"/>
      <c r="J45" s="42"/>
      <c r="K45" s="44"/>
      <c r="L45" s="48"/>
      <c r="M45" s="42"/>
      <c r="N45" s="42"/>
      <c r="O45" s="42"/>
      <c r="P45" s="42"/>
      <c r="Q45" s="42"/>
      <c r="R45" s="42"/>
      <c r="S45" s="44"/>
      <c r="T45" s="207"/>
      <c r="U45" s="208"/>
      <c r="V45" s="209"/>
      <c r="W45" s="220"/>
      <c r="X45" s="221"/>
      <c r="Y45" s="225"/>
      <c r="Z45" s="226"/>
      <c r="AA45" s="225"/>
      <c r="AB45" s="226"/>
      <c r="AC45" s="43"/>
      <c r="AD45" s="10"/>
      <c r="AE45" s="10"/>
      <c r="AF45" s="10"/>
      <c r="AG45" s="52"/>
      <c r="AH45" s="225"/>
      <c r="AI45" s="226"/>
      <c r="AJ45" s="227"/>
      <c r="AK45" s="228"/>
      <c r="AL45" s="225"/>
      <c r="AM45" s="229"/>
      <c r="AN45" s="226"/>
      <c r="AO45" s="230"/>
      <c r="AP45" s="230"/>
      <c r="AQ45" s="230"/>
      <c r="AR45" s="230"/>
      <c r="AS45" s="230"/>
      <c r="AT45" s="230"/>
      <c r="AU45" s="230"/>
      <c r="AV45" s="230"/>
      <c r="AW45" s="230"/>
      <c r="AX45" s="230"/>
      <c r="AY45" s="231"/>
    </row>
    <row r="46" spans="1:51">
      <c r="A46" s="210">
        <f t="shared" si="0"/>
        <v>35</v>
      </c>
      <c r="B46" s="211"/>
      <c r="C46" s="48"/>
      <c r="D46" s="42"/>
      <c r="E46" s="42"/>
      <c r="F46" s="42"/>
      <c r="G46" s="42"/>
      <c r="H46" s="42"/>
      <c r="I46" s="42"/>
      <c r="J46" s="42"/>
      <c r="K46" s="44"/>
      <c r="L46" s="48"/>
      <c r="M46" s="42"/>
      <c r="N46" s="42"/>
      <c r="O46" s="42"/>
      <c r="P46" s="42"/>
      <c r="Q46" s="42"/>
      <c r="R46" s="42"/>
      <c r="S46" s="44"/>
      <c r="T46" s="207"/>
      <c r="U46" s="208"/>
      <c r="V46" s="209"/>
      <c r="W46" s="220"/>
      <c r="X46" s="221"/>
      <c r="Y46" s="225"/>
      <c r="Z46" s="226"/>
      <c r="AA46" s="225"/>
      <c r="AB46" s="226"/>
      <c r="AC46" s="43"/>
      <c r="AD46" s="10"/>
      <c r="AE46" s="10"/>
      <c r="AF46" s="10"/>
      <c r="AG46" s="52"/>
      <c r="AH46" s="225"/>
      <c r="AI46" s="226"/>
      <c r="AJ46" s="227"/>
      <c r="AK46" s="228"/>
      <c r="AL46" s="225"/>
      <c r="AM46" s="229"/>
      <c r="AN46" s="226"/>
      <c r="AO46" s="230"/>
      <c r="AP46" s="230"/>
      <c r="AQ46" s="230"/>
      <c r="AR46" s="230"/>
      <c r="AS46" s="230"/>
      <c r="AT46" s="230"/>
      <c r="AU46" s="230"/>
      <c r="AV46" s="230"/>
      <c r="AW46" s="230"/>
      <c r="AX46" s="230"/>
      <c r="AY46" s="231"/>
    </row>
    <row r="47" spans="1:51">
      <c r="A47" s="210">
        <f t="shared" si="0"/>
        <v>36</v>
      </c>
      <c r="B47" s="211"/>
      <c r="C47" s="48"/>
      <c r="D47" s="42"/>
      <c r="E47" s="42"/>
      <c r="F47" s="42"/>
      <c r="G47" s="42"/>
      <c r="H47" s="42"/>
      <c r="I47" s="42"/>
      <c r="J47" s="42"/>
      <c r="K47" s="44"/>
      <c r="L47" s="48"/>
      <c r="M47" s="42"/>
      <c r="N47" s="42"/>
      <c r="O47" s="42"/>
      <c r="P47" s="42"/>
      <c r="Q47" s="42"/>
      <c r="R47" s="42"/>
      <c r="S47" s="44"/>
      <c r="T47" s="207"/>
      <c r="U47" s="208"/>
      <c r="V47" s="209"/>
      <c r="W47" s="220"/>
      <c r="X47" s="221"/>
      <c r="Y47" s="225"/>
      <c r="Z47" s="226"/>
      <c r="AA47" s="225"/>
      <c r="AB47" s="226"/>
      <c r="AC47" s="43"/>
      <c r="AD47" s="10"/>
      <c r="AE47" s="10"/>
      <c r="AF47" s="10"/>
      <c r="AG47" s="52"/>
      <c r="AH47" s="225"/>
      <c r="AI47" s="226"/>
      <c r="AJ47" s="227"/>
      <c r="AK47" s="228"/>
      <c r="AL47" s="225"/>
      <c r="AM47" s="229"/>
      <c r="AN47" s="226"/>
      <c r="AO47" s="230"/>
      <c r="AP47" s="230"/>
      <c r="AQ47" s="230"/>
      <c r="AR47" s="230"/>
      <c r="AS47" s="230"/>
      <c r="AT47" s="230"/>
      <c r="AU47" s="230"/>
      <c r="AV47" s="230"/>
      <c r="AW47" s="230"/>
      <c r="AX47" s="230"/>
      <c r="AY47" s="231"/>
    </row>
    <row r="48" spans="1:51">
      <c r="A48" s="210">
        <f t="shared" si="0"/>
        <v>37</v>
      </c>
      <c r="B48" s="211"/>
      <c r="C48" s="48"/>
      <c r="D48" s="42"/>
      <c r="E48" s="42"/>
      <c r="F48" s="42"/>
      <c r="G48" s="42"/>
      <c r="H48" s="42"/>
      <c r="I48" s="42"/>
      <c r="J48" s="42"/>
      <c r="K48" s="44"/>
      <c r="L48" s="48"/>
      <c r="M48" s="42"/>
      <c r="N48" s="42"/>
      <c r="O48" s="42"/>
      <c r="P48" s="42"/>
      <c r="Q48" s="42"/>
      <c r="R48" s="42"/>
      <c r="S48" s="44"/>
      <c r="T48" s="207"/>
      <c r="U48" s="208"/>
      <c r="V48" s="209"/>
      <c r="W48" s="220"/>
      <c r="X48" s="221"/>
      <c r="Y48" s="225"/>
      <c r="Z48" s="226"/>
      <c r="AA48" s="225"/>
      <c r="AB48" s="226"/>
      <c r="AC48" s="43"/>
      <c r="AD48" s="10"/>
      <c r="AE48" s="10"/>
      <c r="AF48" s="10"/>
      <c r="AG48" s="52"/>
      <c r="AH48" s="225"/>
      <c r="AI48" s="226"/>
      <c r="AJ48" s="227"/>
      <c r="AK48" s="228"/>
      <c r="AL48" s="225"/>
      <c r="AM48" s="229"/>
      <c r="AN48" s="226"/>
      <c r="AO48" s="230"/>
      <c r="AP48" s="230"/>
      <c r="AQ48" s="230"/>
      <c r="AR48" s="230"/>
      <c r="AS48" s="230"/>
      <c r="AT48" s="230"/>
      <c r="AU48" s="230"/>
      <c r="AV48" s="230"/>
      <c r="AW48" s="230"/>
      <c r="AX48" s="230"/>
      <c r="AY48" s="231"/>
    </row>
    <row r="49" spans="1:51">
      <c r="A49" s="218">
        <f t="shared" si="0"/>
        <v>38</v>
      </c>
      <c r="B49" s="219"/>
      <c r="C49" s="48"/>
      <c r="D49" s="42"/>
      <c r="E49" s="42"/>
      <c r="F49" s="42"/>
      <c r="G49" s="42"/>
      <c r="H49" s="42"/>
      <c r="I49" s="42"/>
      <c r="J49" s="42"/>
      <c r="K49" s="44"/>
      <c r="L49" s="48"/>
      <c r="M49" s="42"/>
      <c r="N49" s="42"/>
      <c r="O49" s="42"/>
      <c r="P49" s="42"/>
      <c r="Q49" s="42"/>
      <c r="R49" s="42"/>
      <c r="S49" s="44"/>
      <c r="T49" s="207"/>
      <c r="U49" s="208"/>
      <c r="V49" s="209"/>
      <c r="W49" s="202"/>
      <c r="X49" s="204"/>
      <c r="Y49" s="220"/>
      <c r="Z49" s="221"/>
      <c r="AA49" s="202"/>
      <c r="AB49" s="204"/>
      <c r="AC49" s="45"/>
      <c r="AD49" s="23"/>
      <c r="AE49" s="23"/>
      <c r="AF49" s="23"/>
      <c r="AG49" s="50"/>
      <c r="AH49" s="202"/>
      <c r="AI49" s="204"/>
      <c r="AJ49" s="100"/>
      <c r="AK49" s="102"/>
      <c r="AL49" s="202"/>
      <c r="AM49" s="203"/>
      <c r="AN49" s="204"/>
      <c r="AO49" s="205"/>
      <c r="AP49" s="205"/>
      <c r="AQ49" s="205"/>
      <c r="AR49" s="205"/>
      <c r="AS49" s="205"/>
      <c r="AT49" s="205"/>
      <c r="AU49" s="205"/>
      <c r="AV49" s="205"/>
      <c r="AW49" s="205"/>
      <c r="AX49" s="205"/>
      <c r="AY49" s="206"/>
    </row>
    <row r="50" spans="1:51">
      <c r="A50" s="218">
        <f t="shared" si="0"/>
        <v>39</v>
      </c>
      <c r="B50" s="219"/>
      <c r="C50" s="48"/>
      <c r="D50" s="42"/>
      <c r="E50" s="42"/>
      <c r="F50" s="42"/>
      <c r="G50" s="42"/>
      <c r="H50" s="42"/>
      <c r="I50" s="42"/>
      <c r="J50" s="42"/>
      <c r="K50" s="44"/>
      <c r="L50" s="48"/>
      <c r="M50" s="42"/>
      <c r="N50" s="42"/>
      <c r="O50" s="42"/>
      <c r="P50" s="42"/>
      <c r="Q50" s="42"/>
      <c r="R50" s="42"/>
      <c r="S50" s="44"/>
      <c r="T50" s="207"/>
      <c r="U50" s="208"/>
      <c r="V50" s="209"/>
      <c r="W50" s="202"/>
      <c r="X50" s="204"/>
      <c r="Y50" s="220"/>
      <c r="Z50" s="221"/>
      <c r="AA50" s="202"/>
      <c r="AB50" s="204"/>
      <c r="AC50" s="45"/>
      <c r="AD50" s="23"/>
      <c r="AE50" s="23"/>
      <c r="AF50" s="23"/>
      <c r="AG50" s="50"/>
      <c r="AH50" s="202"/>
      <c r="AI50" s="204"/>
      <c r="AJ50" s="100"/>
      <c r="AK50" s="102"/>
      <c r="AL50" s="202"/>
      <c r="AM50" s="203"/>
      <c r="AN50" s="204"/>
      <c r="AO50" s="205"/>
      <c r="AP50" s="205"/>
      <c r="AQ50" s="205"/>
      <c r="AR50" s="205"/>
      <c r="AS50" s="205"/>
      <c r="AT50" s="205"/>
      <c r="AU50" s="205"/>
      <c r="AV50" s="205"/>
      <c r="AW50" s="205"/>
      <c r="AX50" s="205"/>
      <c r="AY50" s="206"/>
    </row>
    <row r="51" spans="1:51">
      <c r="A51" s="210">
        <f t="shared" si="0"/>
        <v>40</v>
      </c>
      <c r="B51" s="211"/>
      <c r="C51" s="48"/>
      <c r="D51" s="42"/>
      <c r="E51" s="42"/>
      <c r="F51" s="42"/>
      <c r="G51" s="42"/>
      <c r="H51" s="42"/>
      <c r="I51" s="42"/>
      <c r="J51" s="42"/>
      <c r="K51" s="44"/>
      <c r="L51" s="48"/>
      <c r="M51" s="42"/>
      <c r="N51" s="42"/>
      <c r="O51" s="42"/>
      <c r="P51" s="42"/>
      <c r="Q51" s="42"/>
      <c r="R51" s="42"/>
      <c r="S51" s="44"/>
      <c r="T51" s="207"/>
      <c r="U51" s="208"/>
      <c r="V51" s="209"/>
      <c r="W51" s="202"/>
      <c r="X51" s="204"/>
      <c r="Y51" s="220"/>
      <c r="Z51" s="221"/>
      <c r="AA51" s="210"/>
      <c r="AB51" s="211"/>
      <c r="AC51" s="43"/>
      <c r="AD51" s="10"/>
      <c r="AE51" s="10"/>
      <c r="AF51" s="10"/>
      <c r="AG51" s="52"/>
      <c r="AH51" s="210"/>
      <c r="AI51" s="211"/>
      <c r="AJ51" s="232"/>
      <c r="AK51" s="233"/>
      <c r="AL51" s="210"/>
      <c r="AM51" s="234"/>
      <c r="AN51" s="211"/>
      <c r="AO51" s="235"/>
      <c r="AP51" s="230"/>
      <c r="AQ51" s="230"/>
      <c r="AR51" s="230"/>
      <c r="AS51" s="230"/>
      <c r="AT51" s="230"/>
      <c r="AU51" s="230"/>
      <c r="AV51" s="230"/>
      <c r="AW51" s="230"/>
      <c r="AX51" s="230"/>
      <c r="AY51" s="231"/>
    </row>
    <row r="52" spans="1:51">
      <c r="A52" s="210">
        <f t="shared" si="0"/>
        <v>41</v>
      </c>
      <c r="B52" s="211"/>
      <c r="C52" s="48"/>
      <c r="D52" s="42"/>
      <c r="E52" s="42"/>
      <c r="F52" s="42"/>
      <c r="G52" s="42"/>
      <c r="H52" s="42"/>
      <c r="I52" s="42"/>
      <c r="J52" s="42"/>
      <c r="K52" s="44"/>
      <c r="L52" s="48"/>
      <c r="M52" s="42"/>
      <c r="N52" s="42"/>
      <c r="O52" s="42"/>
      <c r="P52" s="42"/>
      <c r="Q52" s="42"/>
      <c r="R52" s="42"/>
      <c r="S52" s="44"/>
      <c r="T52" s="207"/>
      <c r="U52" s="208"/>
      <c r="V52" s="209"/>
      <c r="W52" s="202"/>
      <c r="X52" s="204"/>
      <c r="Y52" s="220"/>
      <c r="Z52" s="221"/>
      <c r="AA52" s="210"/>
      <c r="AB52" s="211"/>
      <c r="AC52" s="43"/>
      <c r="AD52" s="10"/>
      <c r="AE52" s="10"/>
      <c r="AF52" s="10"/>
      <c r="AG52" s="52"/>
      <c r="AH52" s="210"/>
      <c r="AI52" s="211"/>
      <c r="AJ52" s="232"/>
      <c r="AK52" s="233"/>
      <c r="AL52" s="210"/>
      <c r="AM52" s="234"/>
      <c r="AN52" s="211"/>
      <c r="AO52" s="235"/>
      <c r="AP52" s="230"/>
      <c r="AQ52" s="230"/>
      <c r="AR52" s="230"/>
      <c r="AS52" s="230"/>
      <c r="AT52" s="230"/>
      <c r="AU52" s="230"/>
      <c r="AV52" s="230"/>
      <c r="AW52" s="230"/>
      <c r="AX52" s="230"/>
      <c r="AY52" s="231"/>
    </row>
    <row r="53" spans="1:51">
      <c r="A53" s="210">
        <f t="shared" si="0"/>
        <v>42</v>
      </c>
      <c r="B53" s="211"/>
      <c r="C53" s="48"/>
      <c r="D53" s="42"/>
      <c r="E53" s="42"/>
      <c r="F53" s="42"/>
      <c r="G53" s="42"/>
      <c r="H53" s="42"/>
      <c r="I53" s="42"/>
      <c r="J53" s="42"/>
      <c r="K53" s="44"/>
      <c r="L53" s="48"/>
      <c r="M53" s="42"/>
      <c r="N53" s="42"/>
      <c r="O53" s="42"/>
      <c r="P53" s="42"/>
      <c r="Q53" s="42"/>
      <c r="R53" s="42"/>
      <c r="S53" s="44"/>
      <c r="T53" s="207"/>
      <c r="U53" s="208"/>
      <c r="V53" s="209"/>
      <c r="W53" s="220"/>
      <c r="X53" s="221"/>
      <c r="Y53" s="225"/>
      <c r="Z53" s="226"/>
      <c r="AA53" s="225"/>
      <c r="AB53" s="226"/>
      <c r="AC53" s="43"/>
      <c r="AD53" s="10"/>
      <c r="AE53" s="10"/>
      <c r="AF53" s="10"/>
      <c r="AG53" s="52"/>
      <c r="AH53" s="225"/>
      <c r="AI53" s="226"/>
      <c r="AJ53" s="227"/>
      <c r="AK53" s="228"/>
      <c r="AL53" s="225"/>
      <c r="AM53" s="229"/>
      <c r="AN53" s="226"/>
      <c r="AO53" s="230"/>
      <c r="AP53" s="230"/>
      <c r="AQ53" s="230"/>
      <c r="AR53" s="230"/>
      <c r="AS53" s="230"/>
      <c r="AT53" s="230"/>
      <c r="AU53" s="230"/>
      <c r="AV53" s="230"/>
      <c r="AW53" s="230"/>
      <c r="AX53" s="230"/>
      <c r="AY53" s="231"/>
    </row>
    <row r="54" spans="1:51">
      <c r="A54" s="202">
        <f t="shared" si="0"/>
        <v>43</v>
      </c>
      <c r="B54" s="204"/>
      <c r="C54" s="48"/>
      <c r="D54" s="42"/>
      <c r="E54" s="42"/>
      <c r="F54" s="42"/>
      <c r="G54" s="42"/>
      <c r="H54" s="42"/>
      <c r="I54" s="42"/>
      <c r="J54" s="42"/>
      <c r="K54" s="44"/>
      <c r="L54" s="48"/>
      <c r="M54" s="42"/>
      <c r="N54" s="42"/>
      <c r="O54" s="42"/>
      <c r="P54" s="42"/>
      <c r="Q54" s="42"/>
      <c r="R54" s="42"/>
      <c r="S54" s="44"/>
      <c r="T54" s="207"/>
      <c r="U54" s="208"/>
      <c r="V54" s="209"/>
      <c r="W54" s="202"/>
      <c r="X54" s="204"/>
      <c r="Y54" s="202"/>
      <c r="Z54" s="204"/>
      <c r="AA54" s="202"/>
      <c r="AB54" s="204"/>
      <c r="AC54" s="45"/>
      <c r="AD54" s="23"/>
      <c r="AE54" s="23"/>
      <c r="AF54" s="23"/>
      <c r="AG54" s="50"/>
      <c r="AH54" s="202"/>
      <c r="AI54" s="204"/>
      <c r="AJ54" s="100"/>
      <c r="AK54" s="102"/>
      <c r="AL54" s="202"/>
      <c r="AM54" s="203"/>
      <c r="AN54" s="204"/>
      <c r="AO54" s="205"/>
      <c r="AP54" s="205"/>
      <c r="AQ54" s="205"/>
      <c r="AR54" s="205"/>
      <c r="AS54" s="205"/>
      <c r="AT54" s="205"/>
      <c r="AU54" s="205"/>
      <c r="AV54" s="205"/>
      <c r="AW54" s="205"/>
      <c r="AX54" s="205"/>
      <c r="AY54" s="206"/>
    </row>
  </sheetData>
  <mergeCells count="465">
    <mergeCell ref="AJ54:AK54"/>
    <mergeCell ref="AL54:AN54"/>
    <mergeCell ref="AO54:AY54"/>
    <mergeCell ref="A54:B54"/>
    <mergeCell ref="T54:V54"/>
    <mergeCell ref="W54:X54"/>
    <mergeCell ref="Y54:Z54"/>
    <mergeCell ref="AA54:AB54"/>
    <mergeCell ref="AH54:AI54"/>
    <mergeCell ref="A53:B53"/>
    <mergeCell ref="T53:V53"/>
    <mergeCell ref="W53:X53"/>
    <mergeCell ref="Y53:Z53"/>
    <mergeCell ref="AA53:AB53"/>
    <mergeCell ref="AH53:AI53"/>
    <mergeCell ref="AJ53:AK53"/>
    <mergeCell ref="AL53:AN53"/>
    <mergeCell ref="AO53:AY53"/>
    <mergeCell ref="A52:B52"/>
    <mergeCell ref="T52:V52"/>
    <mergeCell ref="W52:X52"/>
    <mergeCell ref="Y52:Z52"/>
    <mergeCell ref="AA52:AB52"/>
    <mergeCell ref="AH52:AI52"/>
    <mergeCell ref="AJ52:AK52"/>
    <mergeCell ref="AL52:AN52"/>
    <mergeCell ref="AO52:AY52"/>
    <mergeCell ref="AJ50:AK50"/>
    <mergeCell ref="AL50:AN50"/>
    <mergeCell ref="AO50:AY50"/>
    <mergeCell ref="A51:B51"/>
    <mergeCell ref="T51:V51"/>
    <mergeCell ref="W51:X51"/>
    <mergeCell ref="Y51:Z51"/>
    <mergeCell ref="AA51:AB51"/>
    <mergeCell ref="AH51:AI51"/>
    <mergeCell ref="AJ51:AK51"/>
    <mergeCell ref="A50:B50"/>
    <mergeCell ref="T50:V50"/>
    <mergeCell ref="W50:X50"/>
    <mergeCell ref="Y50:Z50"/>
    <mergeCell ref="AA50:AB50"/>
    <mergeCell ref="AH50:AI50"/>
    <mergeCell ref="AL51:AN51"/>
    <mergeCell ref="AO51:AY51"/>
    <mergeCell ref="A49:B49"/>
    <mergeCell ref="T49:V49"/>
    <mergeCell ref="W49:X49"/>
    <mergeCell ref="Y49:Z49"/>
    <mergeCell ref="AA49:AB49"/>
    <mergeCell ref="AH49:AI49"/>
    <mergeCell ref="AJ49:AK49"/>
    <mergeCell ref="AL49:AN49"/>
    <mergeCell ref="AO49:AY49"/>
    <mergeCell ref="A48:B48"/>
    <mergeCell ref="T48:V48"/>
    <mergeCell ref="W48:X48"/>
    <mergeCell ref="Y48:Z48"/>
    <mergeCell ref="AA48:AB48"/>
    <mergeCell ref="AH48:AI48"/>
    <mergeCell ref="AJ48:AK48"/>
    <mergeCell ref="AL48:AN48"/>
    <mergeCell ref="AO48:AY48"/>
    <mergeCell ref="AJ46:AK46"/>
    <mergeCell ref="AL46:AN46"/>
    <mergeCell ref="AO46:AY46"/>
    <mergeCell ref="A47:B47"/>
    <mergeCell ref="T47:V47"/>
    <mergeCell ref="W47:X47"/>
    <mergeCell ref="Y47:Z47"/>
    <mergeCell ref="AA47:AB47"/>
    <mergeCell ref="AH47:AI47"/>
    <mergeCell ref="AJ47:AK47"/>
    <mergeCell ref="A46:B46"/>
    <mergeCell ref="T46:V46"/>
    <mergeCell ref="W46:X46"/>
    <mergeCell ref="Y46:Z46"/>
    <mergeCell ref="AA46:AB46"/>
    <mergeCell ref="AH46:AI46"/>
    <mergeCell ref="AL47:AN47"/>
    <mergeCell ref="AO47:AY47"/>
    <mergeCell ref="A45:B45"/>
    <mergeCell ref="T45:V45"/>
    <mergeCell ref="W45:X45"/>
    <mergeCell ref="Y45:Z45"/>
    <mergeCell ref="AA45:AB45"/>
    <mergeCell ref="AH45:AI45"/>
    <mergeCell ref="AJ45:AK45"/>
    <mergeCell ref="AL45:AN45"/>
    <mergeCell ref="AO45:AY45"/>
    <mergeCell ref="A44:B44"/>
    <mergeCell ref="T44:V44"/>
    <mergeCell ref="W44:X44"/>
    <mergeCell ref="Y44:Z44"/>
    <mergeCell ref="AA44:AB44"/>
    <mergeCell ref="AH44:AI44"/>
    <mergeCell ref="AJ44:AK44"/>
    <mergeCell ref="AL44:AN44"/>
    <mergeCell ref="AO44:AY44"/>
    <mergeCell ref="AJ42:AK42"/>
    <mergeCell ref="AL42:AN42"/>
    <mergeCell ref="AO42:AY42"/>
    <mergeCell ref="A43:B43"/>
    <mergeCell ref="T43:V43"/>
    <mergeCell ref="W43:X43"/>
    <mergeCell ref="Y43:Z43"/>
    <mergeCell ref="AA43:AB43"/>
    <mergeCell ref="AH43:AI43"/>
    <mergeCell ref="AJ43:AK43"/>
    <mergeCell ref="A42:B42"/>
    <mergeCell ref="T42:V42"/>
    <mergeCell ref="W42:X42"/>
    <mergeCell ref="Y42:Z42"/>
    <mergeCell ref="AA42:AB42"/>
    <mergeCell ref="AH42:AI42"/>
    <mergeCell ref="AL43:AN43"/>
    <mergeCell ref="AO43:AY43"/>
    <mergeCell ref="A41:B41"/>
    <mergeCell ref="T41:V41"/>
    <mergeCell ref="W41:X41"/>
    <mergeCell ref="Y41:Z41"/>
    <mergeCell ref="AA41:AB41"/>
    <mergeCell ref="AH41:AI41"/>
    <mergeCell ref="AJ41:AK41"/>
    <mergeCell ref="AL41:AN41"/>
    <mergeCell ref="AO41:AY41"/>
    <mergeCell ref="A40:B40"/>
    <mergeCell ref="T40:V40"/>
    <mergeCell ref="W40:X40"/>
    <mergeCell ref="Y40:Z40"/>
    <mergeCell ref="AA40:AB40"/>
    <mergeCell ref="AH40:AI40"/>
    <mergeCell ref="AJ40:AK40"/>
    <mergeCell ref="AL40:AN40"/>
    <mergeCell ref="AO40:AY40"/>
    <mergeCell ref="AJ38:AK38"/>
    <mergeCell ref="AL38:AN38"/>
    <mergeCell ref="AO38:AY38"/>
    <mergeCell ref="A39:B39"/>
    <mergeCell ref="T39:V39"/>
    <mergeCell ref="W39:X39"/>
    <mergeCell ref="Y39:Z39"/>
    <mergeCell ref="AA39:AB39"/>
    <mergeCell ref="AH39:AI39"/>
    <mergeCell ref="AJ39:AK39"/>
    <mergeCell ref="A38:B38"/>
    <mergeCell ref="T38:V38"/>
    <mergeCell ref="W38:X38"/>
    <mergeCell ref="Y38:Z38"/>
    <mergeCell ref="AA38:AB38"/>
    <mergeCell ref="AH38:AI38"/>
    <mergeCell ref="AL39:AN39"/>
    <mergeCell ref="AO39:AY39"/>
    <mergeCell ref="A37:B37"/>
    <mergeCell ref="T37:V37"/>
    <mergeCell ref="W37:X37"/>
    <mergeCell ref="Y37:Z37"/>
    <mergeCell ref="AA37:AB37"/>
    <mergeCell ref="AH37:AI37"/>
    <mergeCell ref="AJ37:AK37"/>
    <mergeCell ref="AL37:AN37"/>
    <mergeCell ref="AO37:AY37"/>
    <mergeCell ref="A36:B36"/>
    <mergeCell ref="T36:V36"/>
    <mergeCell ref="W36:X36"/>
    <mergeCell ref="Y36:Z36"/>
    <mergeCell ref="AA36:AB36"/>
    <mergeCell ref="AH36:AI36"/>
    <mergeCell ref="AJ36:AK36"/>
    <mergeCell ref="AL36:AN36"/>
    <mergeCell ref="AO36:AY36"/>
    <mergeCell ref="AJ34:AK34"/>
    <mergeCell ref="AL34:AN34"/>
    <mergeCell ref="AO34:AY34"/>
    <mergeCell ref="A35:B35"/>
    <mergeCell ref="T35:V35"/>
    <mergeCell ref="W35:X35"/>
    <mergeCell ref="Y35:Z35"/>
    <mergeCell ref="AA35:AB35"/>
    <mergeCell ref="AH35:AI35"/>
    <mergeCell ref="AJ35:AK35"/>
    <mergeCell ref="A34:B34"/>
    <mergeCell ref="T34:V34"/>
    <mergeCell ref="W34:X34"/>
    <mergeCell ref="Y34:Z34"/>
    <mergeCell ref="AA34:AB34"/>
    <mergeCell ref="AH34:AI34"/>
    <mergeCell ref="AL35:AN35"/>
    <mergeCell ref="AO35:AY35"/>
    <mergeCell ref="A33:B33"/>
    <mergeCell ref="T33:V33"/>
    <mergeCell ref="W33:X33"/>
    <mergeCell ref="Y33:Z33"/>
    <mergeCell ref="AA33:AB33"/>
    <mergeCell ref="AH33:AI33"/>
    <mergeCell ref="AJ33:AK33"/>
    <mergeCell ref="AL33:AN33"/>
    <mergeCell ref="AO33:AY33"/>
    <mergeCell ref="A32:B32"/>
    <mergeCell ref="T32:V32"/>
    <mergeCell ref="W32:X32"/>
    <mergeCell ref="Y32:Z32"/>
    <mergeCell ref="AA32:AB32"/>
    <mergeCell ref="AH32:AI32"/>
    <mergeCell ref="AJ32:AK32"/>
    <mergeCell ref="AL32:AN32"/>
    <mergeCell ref="AO32:AY32"/>
    <mergeCell ref="AJ30:AK30"/>
    <mergeCell ref="AL30:AN30"/>
    <mergeCell ref="AO30:AY30"/>
    <mergeCell ref="A31:B31"/>
    <mergeCell ref="T31:V31"/>
    <mergeCell ref="W31:X31"/>
    <mergeCell ref="Y31:Z31"/>
    <mergeCell ref="AA31:AB31"/>
    <mergeCell ref="AH31:AI31"/>
    <mergeCell ref="AJ31:AK31"/>
    <mergeCell ref="A30:B30"/>
    <mergeCell ref="T30:V30"/>
    <mergeCell ref="W30:X30"/>
    <mergeCell ref="Y30:Z30"/>
    <mergeCell ref="AA30:AB30"/>
    <mergeCell ref="AH30:AI30"/>
    <mergeCell ref="AL31:AN31"/>
    <mergeCell ref="AO31:AY31"/>
    <mergeCell ref="A29:B29"/>
    <mergeCell ref="T29:V29"/>
    <mergeCell ref="W29:X29"/>
    <mergeCell ref="Y29:Z29"/>
    <mergeCell ref="AA29:AB29"/>
    <mergeCell ref="AH29:AI29"/>
    <mergeCell ref="AJ29:AK29"/>
    <mergeCell ref="AL29:AN29"/>
    <mergeCell ref="AO29:AY29"/>
    <mergeCell ref="A28:B28"/>
    <mergeCell ref="T28:V28"/>
    <mergeCell ref="W28:X28"/>
    <mergeCell ref="Y28:Z28"/>
    <mergeCell ref="AA28:AB28"/>
    <mergeCell ref="AH28:AI28"/>
    <mergeCell ref="AJ28:AK28"/>
    <mergeCell ref="AL28:AN28"/>
    <mergeCell ref="AO28:AY28"/>
    <mergeCell ref="AJ26:AK26"/>
    <mergeCell ref="AL26:AN26"/>
    <mergeCell ref="AO26:AY26"/>
    <mergeCell ref="A27:B27"/>
    <mergeCell ref="T27:V27"/>
    <mergeCell ref="W27:X27"/>
    <mergeCell ref="Y27:Z27"/>
    <mergeCell ref="AA27:AB27"/>
    <mergeCell ref="AH27:AI27"/>
    <mergeCell ref="AJ27:AK27"/>
    <mergeCell ref="A26:B26"/>
    <mergeCell ref="T26:V26"/>
    <mergeCell ref="W26:X26"/>
    <mergeCell ref="Y26:Z26"/>
    <mergeCell ref="AA26:AB26"/>
    <mergeCell ref="AH26:AI26"/>
    <mergeCell ref="AL27:AN27"/>
    <mergeCell ref="AO27:AY27"/>
    <mergeCell ref="A25:B25"/>
    <mergeCell ref="T25:V25"/>
    <mergeCell ref="W25:X25"/>
    <mergeCell ref="Y25:Z25"/>
    <mergeCell ref="AA25:AB25"/>
    <mergeCell ref="AH25:AI25"/>
    <mergeCell ref="AJ25:AK25"/>
    <mergeCell ref="AL25:AN25"/>
    <mergeCell ref="AO25:AY25"/>
    <mergeCell ref="A24:B24"/>
    <mergeCell ref="T24:V24"/>
    <mergeCell ref="W24:X24"/>
    <mergeCell ref="Y24:Z24"/>
    <mergeCell ref="AA24:AB24"/>
    <mergeCell ref="AH24:AI24"/>
    <mergeCell ref="AJ24:AK24"/>
    <mergeCell ref="AL24:AN24"/>
    <mergeCell ref="AO24:AY24"/>
    <mergeCell ref="AJ22:AK22"/>
    <mergeCell ref="AL22:AN22"/>
    <mergeCell ref="AO22:AY22"/>
    <mergeCell ref="A23:B23"/>
    <mergeCell ref="T23:V23"/>
    <mergeCell ref="W23:X23"/>
    <mergeCell ref="Y23:Z23"/>
    <mergeCell ref="AA23:AB23"/>
    <mergeCell ref="AH23:AI23"/>
    <mergeCell ref="AJ23:AK23"/>
    <mergeCell ref="A22:B22"/>
    <mergeCell ref="T22:V22"/>
    <mergeCell ref="W22:X22"/>
    <mergeCell ref="Y22:Z22"/>
    <mergeCell ref="AA22:AB22"/>
    <mergeCell ref="AH22:AI22"/>
    <mergeCell ref="AL23:AN23"/>
    <mergeCell ref="AO23:AY23"/>
    <mergeCell ref="Y21:Z21"/>
    <mergeCell ref="AA21:AB21"/>
    <mergeCell ref="AH21:AI21"/>
    <mergeCell ref="AJ21:AK21"/>
    <mergeCell ref="AL21:AN21"/>
    <mergeCell ref="AO21:AY21"/>
    <mergeCell ref="AA20:AB20"/>
    <mergeCell ref="AH20:AI20"/>
    <mergeCell ref="AJ20:AK20"/>
    <mergeCell ref="AL20:AN20"/>
    <mergeCell ref="AO20:AY20"/>
    <mergeCell ref="Y20:Z20"/>
    <mergeCell ref="A21:B21"/>
    <mergeCell ref="C21:K21"/>
    <mergeCell ref="L21:S21"/>
    <mergeCell ref="T21:V21"/>
    <mergeCell ref="W21:X21"/>
    <mergeCell ref="A20:B20"/>
    <mergeCell ref="C20:K20"/>
    <mergeCell ref="L20:S20"/>
    <mergeCell ref="T20:V20"/>
    <mergeCell ref="W20:X20"/>
    <mergeCell ref="Y19:Z19"/>
    <mergeCell ref="AA19:AB19"/>
    <mergeCell ref="AH19:AI19"/>
    <mergeCell ref="AJ19:AK19"/>
    <mergeCell ref="AL19:AN19"/>
    <mergeCell ref="AO19:AY19"/>
    <mergeCell ref="AA18:AB18"/>
    <mergeCell ref="AH18:AI18"/>
    <mergeCell ref="AJ18:AK18"/>
    <mergeCell ref="AL18:AN18"/>
    <mergeCell ref="AO18:AY18"/>
    <mergeCell ref="Y18:Z18"/>
    <mergeCell ref="A19:B19"/>
    <mergeCell ref="C19:K19"/>
    <mergeCell ref="L19:S19"/>
    <mergeCell ref="T19:V19"/>
    <mergeCell ref="W19:X19"/>
    <mergeCell ref="A18:B18"/>
    <mergeCell ref="C18:K18"/>
    <mergeCell ref="L18:S18"/>
    <mergeCell ref="T18:V18"/>
    <mergeCell ref="W18:X18"/>
    <mergeCell ref="Y17:Z17"/>
    <mergeCell ref="AA17:AB17"/>
    <mergeCell ref="AH17:AI17"/>
    <mergeCell ref="AJ17:AK17"/>
    <mergeCell ref="AL17:AN17"/>
    <mergeCell ref="AO17:AY17"/>
    <mergeCell ref="AA16:AB16"/>
    <mergeCell ref="AH16:AI16"/>
    <mergeCell ref="AJ16:AK16"/>
    <mergeCell ref="AL16:AN16"/>
    <mergeCell ref="AO16:AY16"/>
    <mergeCell ref="Y16:Z16"/>
    <mergeCell ref="A17:B17"/>
    <mergeCell ref="C17:K17"/>
    <mergeCell ref="L17:S17"/>
    <mergeCell ref="T17:V17"/>
    <mergeCell ref="W17:X17"/>
    <mergeCell ref="A16:B16"/>
    <mergeCell ref="C16:K16"/>
    <mergeCell ref="L16:S16"/>
    <mergeCell ref="T16:V16"/>
    <mergeCell ref="W16:X16"/>
    <mergeCell ref="Y15:Z15"/>
    <mergeCell ref="AA15:AB15"/>
    <mergeCell ref="AH15:AI15"/>
    <mergeCell ref="AJ15:AK15"/>
    <mergeCell ref="AL15:AN15"/>
    <mergeCell ref="AO15:AY15"/>
    <mergeCell ref="AA14:AB14"/>
    <mergeCell ref="AH14:AI14"/>
    <mergeCell ref="AJ14:AK14"/>
    <mergeCell ref="AL14:AN14"/>
    <mergeCell ref="AO14:AY14"/>
    <mergeCell ref="Y14:Z14"/>
    <mergeCell ref="A15:B15"/>
    <mergeCell ref="C15:K15"/>
    <mergeCell ref="L15:S15"/>
    <mergeCell ref="T15:V15"/>
    <mergeCell ref="W15:X15"/>
    <mergeCell ref="A14:B14"/>
    <mergeCell ref="C14:K14"/>
    <mergeCell ref="L14:S14"/>
    <mergeCell ref="T14:V14"/>
    <mergeCell ref="W14:X14"/>
    <mergeCell ref="Y13:Z13"/>
    <mergeCell ref="AA13:AB13"/>
    <mergeCell ref="AH13:AI13"/>
    <mergeCell ref="AJ13:AK13"/>
    <mergeCell ref="AL13:AN13"/>
    <mergeCell ref="AO13:AY13"/>
    <mergeCell ref="AA12:AB12"/>
    <mergeCell ref="AH12:AI12"/>
    <mergeCell ref="AJ12:AK12"/>
    <mergeCell ref="AL12:AN12"/>
    <mergeCell ref="AO12:AY12"/>
    <mergeCell ref="Y12:Z12"/>
    <mergeCell ref="A13:B13"/>
    <mergeCell ref="C13:K13"/>
    <mergeCell ref="L13:S13"/>
    <mergeCell ref="T13:V13"/>
    <mergeCell ref="W13:X13"/>
    <mergeCell ref="A12:B12"/>
    <mergeCell ref="C12:K12"/>
    <mergeCell ref="L12:S12"/>
    <mergeCell ref="T12:V12"/>
    <mergeCell ref="W12:X12"/>
    <mergeCell ref="AA10:AB10"/>
    <mergeCell ref="AC10:AG10"/>
    <mergeCell ref="AH10:AI10"/>
    <mergeCell ref="AJ10:AK11"/>
    <mergeCell ref="AL10:AN11"/>
    <mergeCell ref="AO10:AY11"/>
    <mergeCell ref="AA11:AB11"/>
    <mergeCell ref="AH11:AI11"/>
    <mergeCell ref="A10:B11"/>
    <mergeCell ref="C10:K11"/>
    <mergeCell ref="L10:S11"/>
    <mergeCell ref="T10:V11"/>
    <mergeCell ref="W10:X11"/>
    <mergeCell ref="Y10:Z11"/>
    <mergeCell ref="A6:F8"/>
    <mergeCell ref="G6:K6"/>
    <mergeCell ref="L6:AB6"/>
    <mergeCell ref="AC6:AG6"/>
    <mergeCell ref="AH6:AY6"/>
    <mergeCell ref="AX2:AY5"/>
    <mergeCell ref="G3:K3"/>
    <mergeCell ref="AI3:AK3"/>
    <mergeCell ref="AL3:AN3"/>
    <mergeCell ref="AO3:AS3"/>
    <mergeCell ref="AT3:AW3"/>
    <mergeCell ref="G4:K4"/>
    <mergeCell ref="AI4:AK5"/>
    <mergeCell ref="AL4:AN4"/>
    <mergeCell ref="AO4:AS4"/>
    <mergeCell ref="A1:F5"/>
    <mergeCell ref="G7:K7"/>
    <mergeCell ref="L7:AB7"/>
    <mergeCell ref="AC7:AG7"/>
    <mergeCell ref="AH7:AY7"/>
    <mergeCell ref="G8:K8"/>
    <mergeCell ref="L8:AB8"/>
    <mergeCell ref="AC8:AG8"/>
    <mergeCell ref="AH8:AY8"/>
    <mergeCell ref="AO1:AS1"/>
    <mergeCell ref="AT1:AW1"/>
    <mergeCell ref="AX1:AY1"/>
    <mergeCell ref="G2:K2"/>
    <mergeCell ref="AC2:AE5"/>
    <mergeCell ref="AF2:AH5"/>
    <mergeCell ref="AI2:AK2"/>
    <mergeCell ref="AL2:AN2"/>
    <mergeCell ref="AO2:AS2"/>
    <mergeCell ref="AT2:AW2"/>
    <mergeCell ref="G1:K1"/>
    <mergeCell ref="AC1:AE1"/>
    <mergeCell ref="AF1:AH1"/>
    <mergeCell ref="AI1:AK1"/>
    <mergeCell ref="AL1:AN1"/>
    <mergeCell ref="AT4:AW4"/>
    <mergeCell ref="G5:K5"/>
    <mergeCell ref="AL5:AN5"/>
    <mergeCell ref="AO5:AS5"/>
    <mergeCell ref="AT5:AW5"/>
  </mergeCells>
  <phoneticPr fontId="23"/>
  <dataValidations count="1">
    <dataValidation type="list" allowBlank="1" showInputMessage="1" showErrorMessage="1" sqref="T12:V54" xr:uid="{00000000-0002-0000-2600-000000000000}">
      <formula1>型候補</formula1>
    </dataValidation>
  </dataValidations>
  <hyperlinks>
    <hyperlink ref="A1:F5" location="テーブル一覧!A1" display="テーブル一覧!A1" xr:uid="{00000000-0004-0000-2600-000000000000}"/>
  </hyperlinks>
  <pageMargins left="0.7" right="0.7" top="0.75" bottom="0.75" header="0.3" footer="0.3"/>
  <pageSetup paperSize="9" scale="83" fitToHeight="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952FF5-D708-4181-A7D0-6128443BB2E1}">
  <sheetPr codeName="Sheet44">
    <pageSetUpPr fitToPage="1"/>
  </sheetPr>
  <dimension ref="A1:AY54"/>
  <sheetViews>
    <sheetView view="pageBreakPreview" zoomScaleNormal="100" zoomScaleSheetLayoutView="100" workbookViewId="0">
      <selection activeCell="C12" sqref="C12:C24"/>
    </sheetView>
  </sheetViews>
  <sheetFormatPr defaultColWidth="3.83203125" defaultRowHeight="12"/>
  <cols>
    <col min="1" max="1" width="3.83203125" style="7" customWidth="1"/>
    <col min="2" max="3" width="3.83203125" style="8"/>
    <col min="4" max="49" width="3.83203125" style="7"/>
    <col min="50" max="50" width="4" style="7" customWidth="1"/>
    <col min="51" max="16384" width="3.83203125" style="7"/>
  </cols>
  <sheetData>
    <row r="1" spans="1:51" s="2" customFormat="1">
      <c r="A1" s="162" t="str">
        <f>L5</f>
        <v>テーブル定義書</v>
      </c>
      <c r="B1" s="163"/>
      <c r="C1" s="163"/>
      <c r="D1" s="163"/>
      <c r="E1" s="163"/>
      <c r="F1" s="164"/>
      <c r="G1" s="123" t="s">
        <v>59</v>
      </c>
      <c r="H1" s="113"/>
      <c r="I1" s="113"/>
      <c r="J1" s="113"/>
      <c r="K1" s="113"/>
      <c r="L1" s="1">
        <f>表紙!B8</f>
        <v>0</v>
      </c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24"/>
      <c r="AD1" s="124"/>
      <c r="AE1" s="124"/>
      <c r="AF1" s="124"/>
      <c r="AG1" s="124"/>
      <c r="AH1" s="124"/>
      <c r="AI1" s="113" t="s">
        <v>60</v>
      </c>
      <c r="AJ1" s="113"/>
      <c r="AK1" s="113"/>
      <c r="AL1" s="113" t="s">
        <v>61</v>
      </c>
      <c r="AM1" s="113"/>
      <c r="AN1" s="113"/>
      <c r="AO1" s="113" t="s">
        <v>62</v>
      </c>
      <c r="AP1" s="113"/>
      <c r="AQ1" s="113"/>
      <c r="AR1" s="113"/>
      <c r="AS1" s="113"/>
      <c r="AT1" s="113" t="s">
        <v>55</v>
      </c>
      <c r="AU1" s="113"/>
      <c r="AV1" s="113"/>
      <c r="AW1" s="113"/>
      <c r="AX1" s="113" t="s">
        <v>63</v>
      </c>
      <c r="AY1" s="114"/>
    </row>
    <row r="2" spans="1:51" s="2" customFormat="1">
      <c r="A2" s="165"/>
      <c r="B2" s="166"/>
      <c r="C2" s="166"/>
      <c r="D2" s="166"/>
      <c r="E2" s="166"/>
      <c r="F2" s="167"/>
      <c r="G2" s="115" t="s">
        <v>64</v>
      </c>
      <c r="H2" s="116"/>
      <c r="I2" s="116"/>
      <c r="J2" s="116"/>
      <c r="K2" s="116"/>
      <c r="L2" s="3">
        <f>表紙!M8</f>
        <v>0</v>
      </c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117"/>
      <c r="AD2" s="117"/>
      <c r="AE2" s="117"/>
      <c r="AF2" s="117"/>
      <c r="AG2" s="117"/>
      <c r="AH2" s="117"/>
      <c r="AI2" s="119" t="s">
        <v>65</v>
      </c>
      <c r="AJ2" s="119"/>
      <c r="AK2" s="119"/>
      <c r="AL2" s="120" t="s">
        <v>73</v>
      </c>
      <c r="AM2" s="120"/>
      <c r="AN2" s="120"/>
      <c r="AO2" s="121"/>
      <c r="AP2" s="121"/>
      <c r="AQ2" s="122"/>
      <c r="AR2" s="122"/>
      <c r="AS2" s="122"/>
      <c r="AT2" s="122"/>
      <c r="AU2" s="122"/>
      <c r="AV2" s="122"/>
      <c r="AW2" s="122"/>
      <c r="AX2" s="150" t="s">
        <v>74</v>
      </c>
      <c r="AY2" s="151"/>
    </row>
    <row r="3" spans="1:51" s="2" customFormat="1">
      <c r="A3" s="165"/>
      <c r="B3" s="166"/>
      <c r="C3" s="166"/>
      <c r="D3" s="166"/>
      <c r="E3" s="166"/>
      <c r="F3" s="167"/>
      <c r="G3" s="154" t="s">
        <v>66</v>
      </c>
      <c r="H3" s="119"/>
      <c r="I3" s="119"/>
      <c r="J3" s="119"/>
      <c r="K3" s="119"/>
      <c r="L3" s="4" t="s">
        <v>76</v>
      </c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117"/>
      <c r="AD3" s="117"/>
      <c r="AE3" s="117"/>
      <c r="AF3" s="117"/>
      <c r="AG3" s="117"/>
      <c r="AH3" s="117"/>
      <c r="AI3" s="155" t="s">
        <v>67</v>
      </c>
      <c r="AJ3" s="155"/>
      <c r="AK3" s="155"/>
      <c r="AL3" s="156"/>
      <c r="AM3" s="156"/>
      <c r="AN3" s="156"/>
      <c r="AO3" s="157" t="str">
        <f>IF( $AL3 &lt;&gt; "", VLOOKUP( $AL3, 表紙!$B$15:$AE$47, 5, FALSE ), "" )</f>
        <v/>
      </c>
      <c r="AP3" s="157"/>
      <c r="AQ3" s="158"/>
      <c r="AR3" s="158"/>
      <c r="AS3" s="158"/>
      <c r="AT3" s="158" t="str">
        <f>IF( $AL3 &lt;&gt; "", VLOOKUP( $AL3, 表紙!$B$15:$AE$47, 28, FALSE ), "" )</f>
        <v/>
      </c>
      <c r="AU3" s="158"/>
      <c r="AV3" s="158"/>
      <c r="AW3" s="158"/>
      <c r="AX3" s="150"/>
      <c r="AY3" s="151"/>
    </row>
    <row r="4" spans="1:51" s="2" customFormat="1">
      <c r="A4" s="165"/>
      <c r="B4" s="166"/>
      <c r="C4" s="166"/>
      <c r="D4" s="166"/>
      <c r="E4" s="166"/>
      <c r="F4" s="167"/>
      <c r="G4" s="159" t="s">
        <v>75</v>
      </c>
      <c r="H4" s="155"/>
      <c r="I4" s="155"/>
      <c r="J4" s="155"/>
      <c r="K4" s="15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117"/>
      <c r="AD4" s="117"/>
      <c r="AE4" s="117"/>
      <c r="AF4" s="117"/>
      <c r="AG4" s="117"/>
      <c r="AH4" s="117"/>
      <c r="AI4" s="155" t="s">
        <v>68</v>
      </c>
      <c r="AJ4" s="155"/>
      <c r="AK4" s="155"/>
      <c r="AL4" s="156"/>
      <c r="AM4" s="156"/>
      <c r="AN4" s="156"/>
      <c r="AO4" s="160"/>
      <c r="AP4" s="160"/>
      <c r="AQ4" s="161"/>
      <c r="AR4" s="161"/>
      <c r="AS4" s="161"/>
      <c r="AT4" s="125"/>
      <c r="AU4" s="125"/>
      <c r="AV4" s="125"/>
      <c r="AW4" s="125"/>
      <c r="AX4" s="150"/>
      <c r="AY4" s="151"/>
    </row>
    <row r="5" spans="1:51" s="2" customFormat="1" ht="12.75" thickBot="1">
      <c r="A5" s="168"/>
      <c r="B5" s="169"/>
      <c r="C5" s="169"/>
      <c r="D5" s="169"/>
      <c r="E5" s="169"/>
      <c r="F5" s="170"/>
      <c r="G5" s="126" t="s">
        <v>0</v>
      </c>
      <c r="H5" s="127"/>
      <c r="I5" s="127"/>
      <c r="J5" s="127"/>
      <c r="K5" s="127"/>
      <c r="L5" s="6" t="s">
        <v>87</v>
      </c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118"/>
      <c r="AD5" s="118"/>
      <c r="AE5" s="118"/>
      <c r="AF5" s="118"/>
      <c r="AG5" s="118"/>
      <c r="AH5" s="118"/>
      <c r="AI5" s="127"/>
      <c r="AJ5" s="127"/>
      <c r="AK5" s="127"/>
      <c r="AL5" s="128"/>
      <c r="AM5" s="128"/>
      <c r="AN5" s="128"/>
      <c r="AO5" s="129"/>
      <c r="AP5" s="129"/>
      <c r="AQ5" s="130"/>
      <c r="AR5" s="130"/>
      <c r="AS5" s="130"/>
      <c r="AT5" s="131"/>
      <c r="AU5" s="131"/>
      <c r="AV5" s="131"/>
      <c r="AW5" s="131"/>
      <c r="AX5" s="152"/>
      <c r="AY5" s="153"/>
    </row>
    <row r="6" spans="1:51" s="2" customFormat="1">
      <c r="A6" s="132" t="s">
        <v>1</v>
      </c>
      <c r="B6" s="133"/>
      <c r="C6" s="133"/>
      <c r="D6" s="133"/>
      <c r="E6" s="133"/>
      <c r="F6" s="134"/>
      <c r="G6" s="141" t="s">
        <v>10</v>
      </c>
      <c r="H6" s="142"/>
      <c r="I6" s="142"/>
      <c r="J6" s="142"/>
      <c r="K6" s="142"/>
      <c r="L6" s="143"/>
      <c r="M6" s="144"/>
      <c r="N6" s="144"/>
      <c r="O6" s="144"/>
      <c r="P6" s="144"/>
      <c r="Q6" s="144"/>
      <c r="R6" s="144"/>
      <c r="S6" s="144"/>
      <c r="T6" s="144"/>
      <c r="U6" s="144"/>
      <c r="V6" s="144"/>
      <c r="W6" s="144"/>
      <c r="X6" s="144"/>
      <c r="Y6" s="144"/>
      <c r="Z6" s="144"/>
      <c r="AA6" s="144"/>
      <c r="AB6" s="145"/>
      <c r="AC6" s="146" t="s">
        <v>14</v>
      </c>
      <c r="AD6" s="142"/>
      <c r="AE6" s="142"/>
      <c r="AF6" s="142"/>
      <c r="AG6" s="142"/>
      <c r="AH6" s="147" t="s">
        <v>79</v>
      </c>
      <c r="AI6" s="148"/>
      <c r="AJ6" s="148"/>
      <c r="AK6" s="148"/>
      <c r="AL6" s="148"/>
      <c r="AM6" s="148"/>
      <c r="AN6" s="148"/>
      <c r="AO6" s="148"/>
      <c r="AP6" s="148"/>
      <c r="AQ6" s="148"/>
      <c r="AR6" s="148"/>
      <c r="AS6" s="148"/>
      <c r="AT6" s="148"/>
      <c r="AU6" s="148"/>
      <c r="AV6" s="148"/>
      <c r="AW6" s="148"/>
      <c r="AX6" s="148"/>
      <c r="AY6" s="149"/>
    </row>
    <row r="7" spans="1:51" s="2" customFormat="1">
      <c r="A7" s="135"/>
      <c r="B7" s="136"/>
      <c r="C7" s="136"/>
      <c r="D7" s="136"/>
      <c r="E7" s="136"/>
      <c r="F7" s="137"/>
      <c r="G7" s="171" t="s">
        <v>11</v>
      </c>
      <c r="H7" s="155"/>
      <c r="I7" s="155"/>
      <c r="J7" s="155"/>
      <c r="K7" s="155"/>
      <c r="L7" s="172" t="s">
        <v>143</v>
      </c>
      <c r="M7" s="173"/>
      <c r="N7" s="173"/>
      <c r="O7" s="173"/>
      <c r="P7" s="173"/>
      <c r="Q7" s="173"/>
      <c r="R7" s="173"/>
      <c r="S7" s="173"/>
      <c r="T7" s="173"/>
      <c r="U7" s="173"/>
      <c r="V7" s="173"/>
      <c r="W7" s="173"/>
      <c r="X7" s="173"/>
      <c r="Y7" s="173"/>
      <c r="Z7" s="173"/>
      <c r="AA7" s="173"/>
      <c r="AB7" s="174"/>
      <c r="AC7" s="159" t="s">
        <v>13</v>
      </c>
      <c r="AD7" s="155"/>
      <c r="AE7" s="155"/>
      <c r="AF7" s="155"/>
      <c r="AG7" s="155"/>
      <c r="AH7" s="172" t="s">
        <v>143</v>
      </c>
      <c r="AI7" s="173"/>
      <c r="AJ7" s="173"/>
      <c r="AK7" s="173"/>
      <c r="AL7" s="173"/>
      <c r="AM7" s="173"/>
      <c r="AN7" s="173"/>
      <c r="AO7" s="173"/>
      <c r="AP7" s="173"/>
      <c r="AQ7" s="173"/>
      <c r="AR7" s="173"/>
      <c r="AS7" s="173"/>
      <c r="AT7" s="173"/>
      <c r="AU7" s="173"/>
      <c r="AV7" s="173"/>
      <c r="AW7" s="173"/>
      <c r="AX7" s="173"/>
      <c r="AY7" s="174"/>
    </row>
    <row r="8" spans="1:51" s="2" customFormat="1" ht="12.75" thickBot="1">
      <c r="A8" s="138"/>
      <c r="B8" s="139"/>
      <c r="C8" s="139"/>
      <c r="D8" s="139"/>
      <c r="E8" s="139"/>
      <c r="F8" s="140"/>
      <c r="G8" s="175" t="s">
        <v>12</v>
      </c>
      <c r="H8" s="176"/>
      <c r="I8" s="176"/>
      <c r="J8" s="176"/>
      <c r="K8" s="176"/>
      <c r="L8" s="177" t="s">
        <v>200</v>
      </c>
      <c r="M8" s="178"/>
      <c r="N8" s="178"/>
      <c r="O8" s="178"/>
      <c r="P8" s="178"/>
      <c r="Q8" s="178"/>
      <c r="R8" s="178"/>
      <c r="S8" s="178"/>
      <c r="T8" s="178"/>
      <c r="U8" s="178"/>
      <c r="V8" s="178"/>
      <c r="W8" s="178"/>
      <c r="X8" s="178"/>
      <c r="Y8" s="178"/>
      <c r="Z8" s="178"/>
      <c r="AA8" s="178"/>
      <c r="AB8" s="179"/>
      <c r="AC8" s="180" t="s">
        <v>33</v>
      </c>
      <c r="AD8" s="176"/>
      <c r="AE8" s="176"/>
      <c r="AF8" s="176"/>
      <c r="AG8" s="176"/>
      <c r="AH8" s="177" t="str">
        <f ca="1">RIGHT(CELL("filename",A1),LEN(CELL("filename",A1))-FIND("]",CELL("filename",A1)))</f>
        <v>m_Maker</v>
      </c>
      <c r="AI8" s="178"/>
      <c r="AJ8" s="178"/>
      <c r="AK8" s="178"/>
      <c r="AL8" s="178"/>
      <c r="AM8" s="178"/>
      <c r="AN8" s="178"/>
      <c r="AO8" s="178"/>
      <c r="AP8" s="178"/>
      <c r="AQ8" s="178"/>
      <c r="AR8" s="178"/>
      <c r="AS8" s="178"/>
      <c r="AT8" s="178"/>
      <c r="AU8" s="178"/>
      <c r="AV8" s="178"/>
      <c r="AW8" s="178"/>
      <c r="AX8" s="178"/>
      <c r="AY8" s="179"/>
    </row>
    <row r="10" spans="1:51">
      <c r="A10" s="181" t="s">
        <v>15</v>
      </c>
      <c r="B10" s="181"/>
      <c r="C10" s="181" t="s">
        <v>17</v>
      </c>
      <c r="D10" s="181"/>
      <c r="E10" s="181"/>
      <c r="F10" s="181"/>
      <c r="G10" s="181"/>
      <c r="H10" s="181"/>
      <c r="I10" s="181"/>
      <c r="J10" s="181"/>
      <c r="K10" s="181"/>
      <c r="L10" s="183" t="s">
        <v>18</v>
      </c>
      <c r="M10" s="184"/>
      <c r="N10" s="184"/>
      <c r="O10" s="184"/>
      <c r="P10" s="184"/>
      <c r="Q10" s="184"/>
      <c r="R10" s="184"/>
      <c r="S10" s="185"/>
      <c r="T10" s="184" t="s">
        <v>16</v>
      </c>
      <c r="U10" s="184"/>
      <c r="V10" s="185"/>
      <c r="W10" s="181" t="s">
        <v>28</v>
      </c>
      <c r="X10" s="181"/>
      <c r="Y10" s="181" t="s">
        <v>29</v>
      </c>
      <c r="Z10" s="181"/>
      <c r="AA10" s="181" t="s">
        <v>25</v>
      </c>
      <c r="AB10" s="181"/>
      <c r="AC10" s="181" t="s">
        <v>26</v>
      </c>
      <c r="AD10" s="181"/>
      <c r="AE10" s="181"/>
      <c r="AF10" s="181"/>
      <c r="AG10" s="181"/>
      <c r="AH10" s="181" t="s">
        <v>27</v>
      </c>
      <c r="AI10" s="181"/>
      <c r="AJ10" s="182" t="s">
        <v>30</v>
      </c>
      <c r="AK10" s="181"/>
      <c r="AL10" s="181" t="s">
        <v>31</v>
      </c>
      <c r="AM10" s="181"/>
      <c r="AN10" s="181"/>
      <c r="AO10" s="181" t="s">
        <v>32</v>
      </c>
      <c r="AP10" s="181"/>
      <c r="AQ10" s="181"/>
      <c r="AR10" s="181"/>
      <c r="AS10" s="181"/>
      <c r="AT10" s="181"/>
      <c r="AU10" s="181"/>
      <c r="AV10" s="181"/>
      <c r="AW10" s="181"/>
      <c r="AX10" s="181"/>
      <c r="AY10" s="181"/>
    </row>
    <row r="11" spans="1:51">
      <c r="A11" s="181"/>
      <c r="B11" s="181"/>
      <c r="C11" s="181"/>
      <c r="D11" s="181"/>
      <c r="E11" s="181"/>
      <c r="F11" s="181"/>
      <c r="G11" s="181"/>
      <c r="H11" s="181"/>
      <c r="I11" s="181"/>
      <c r="J11" s="181"/>
      <c r="K11" s="181"/>
      <c r="L11" s="186"/>
      <c r="M11" s="187"/>
      <c r="N11" s="187"/>
      <c r="O11" s="187"/>
      <c r="P11" s="187"/>
      <c r="Q11" s="187"/>
      <c r="R11" s="187"/>
      <c r="S11" s="188"/>
      <c r="T11" s="187"/>
      <c r="U11" s="187"/>
      <c r="V11" s="188"/>
      <c r="W11" s="181"/>
      <c r="X11" s="181"/>
      <c r="Y11" s="181"/>
      <c r="Z11" s="181"/>
      <c r="AA11" s="181" t="s">
        <v>24</v>
      </c>
      <c r="AB11" s="181"/>
      <c r="AC11" s="9" t="s">
        <v>19</v>
      </c>
      <c r="AD11" s="9" t="s">
        <v>20</v>
      </c>
      <c r="AE11" s="9" t="s">
        <v>21</v>
      </c>
      <c r="AF11" s="9" t="s">
        <v>22</v>
      </c>
      <c r="AG11" s="9" t="s">
        <v>23</v>
      </c>
      <c r="AH11" s="181" t="s">
        <v>24</v>
      </c>
      <c r="AI11" s="181"/>
      <c r="AJ11" s="181"/>
      <c r="AK11" s="181"/>
      <c r="AL11" s="181"/>
      <c r="AM11" s="181"/>
      <c r="AN11" s="181"/>
      <c r="AO11" s="181"/>
      <c r="AP11" s="181"/>
      <c r="AQ11" s="181"/>
      <c r="AR11" s="181"/>
      <c r="AS11" s="181"/>
      <c r="AT11" s="181"/>
      <c r="AU11" s="181"/>
      <c r="AV11" s="181"/>
      <c r="AW11" s="181"/>
      <c r="AX11" s="181"/>
      <c r="AY11" s="181"/>
    </row>
    <row r="12" spans="1:51">
      <c r="A12" s="189">
        <f t="shared" ref="A12:A54" si="0">ROW()-11</f>
        <v>1</v>
      </c>
      <c r="B12" s="190"/>
      <c r="C12" s="61" t="s">
        <v>82</v>
      </c>
      <c r="D12" s="59"/>
      <c r="E12" s="59"/>
      <c r="F12" s="59"/>
      <c r="G12" s="59"/>
      <c r="H12" s="59"/>
      <c r="I12" s="59"/>
      <c r="J12" s="59"/>
      <c r="K12" s="60"/>
      <c r="L12" s="191" t="s">
        <v>93</v>
      </c>
      <c r="M12" s="192"/>
      <c r="N12" s="192"/>
      <c r="O12" s="192"/>
      <c r="P12" s="192"/>
      <c r="Q12" s="192"/>
      <c r="R12" s="192"/>
      <c r="S12" s="193"/>
      <c r="T12" s="194" t="s">
        <v>41</v>
      </c>
      <c r="U12" s="195"/>
      <c r="V12" s="196"/>
      <c r="W12" s="197" t="s">
        <v>43</v>
      </c>
      <c r="X12" s="198"/>
      <c r="Y12" s="197">
        <v>8</v>
      </c>
      <c r="Z12" s="198"/>
      <c r="AA12" s="197"/>
      <c r="AB12" s="198"/>
      <c r="AC12" s="47"/>
      <c r="AD12" s="22"/>
      <c r="AE12" s="22"/>
      <c r="AF12" s="22"/>
      <c r="AG12" s="49"/>
      <c r="AH12" s="197"/>
      <c r="AI12" s="198"/>
      <c r="AJ12" s="199"/>
      <c r="AK12" s="200"/>
      <c r="AL12" s="197"/>
      <c r="AM12" s="201"/>
      <c r="AN12" s="198"/>
      <c r="AO12" s="192"/>
      <c r="AP12" s="192"/>
      <c r="AQ12" s="192"/>
      <c r="AR12" s="192"/>
      <c r="AS12" s="192"/>
      <c r="AT12" s="192"/>
      <c r="AU12" s="192"/>
      <c r="AV12" s="192"/>
      <c r="AW12" s="192"/>
      <c r="AX12" s="192"/>
      <c r="AY12" s="193"/>
    </row>
    <row r="13" spans="1:51">
      <c r="A13" s="189">
        <f t="shared" si="0"/>
        <v>2</v>
      </c>
      <c r="B13" s="190"/>
      <c r="C13" s="61" t="s">
        <v>83</v>
      </c>
      <c r="D13" s="59"/>
      <c r="E13" s="59"/>
      <c r="F13" s="59"/>
      <c r="G13" s="59"/>
      <c r="H13" s="59"/>
      <c r="I13" s="59"/>
      <c r="J13" s="59"/>
      <c r="K13" s="60"/>
      <c r="L13" s="191" t="s">
        <v>94</v>
      </c>
      <c r="M13" s="192"/>
      <c r="N13" s="192"/>
      <c r="O13" s="192"/>
      <c r="P13" s="192"/>
      <c r="Q13" s="192"/>
      <c r="R13" s="192"/>
      <c r="S13" s="193"/>
      <c r="T13" s="194" t="s">
        <v>40</v>
      </c>
      <c r="U13" s="195"/>
      <c r="V13" s="196"/>
      <c r="W13" s="197">
        <v>60</v>
      </c>
      <c r="X13" s="198"/>
      <c r="Y13" s="197">
        <v>60</v>
      </c>
      <c r="Z13" s="198"/>
      <c r="AA13" s="197"/>
      <c r="AB13" s="198"/>
      <c r="AC13" s="47"/>
      <c r="AD13" s="22"/>
      <c r="AE13" s="22"/>
      <c r="AF13" s="22"/>
      <c r="AG13" s="49"/>
      <c r="AH13" s="197"/>
      <c r="AI13" s="198"/>
      <c r="AJ13" s="199"/>
      <c r="AK13" s="200"/>
      <c r="AL13" s="197"/>
      <c r="AM13" s="201"/>
      <c r="AN13" s="198"/>
      <c r="AO13" s="192"/>
      <c r="AP13" s="192"/>
      <c r="AQ13" s="192"/>
      <c r="AR13" s="192"/>
      <c r="AS13" s="192"/>
      <c r="AT13" s="192"/>
      <c r="AU13" s="192"/>
      <c r="AV13" s="192"/>
      <c r="AW13" s="192"/>
      <c r="AX13" s="192"/>
      <c r="AY13" s="193"/>
    </row>
    <row r="14" spans="1:51">
      <c r="A14" s="189">
        <f t="shared" si="0"/>
        <v>3</v>
      </c>
      <c r="B14" s="190"/>
      <c r="C14" s="61" t="s">
        <v>90</v>
      </c>
      <c r="D14" s="59"/>
      <c r="E14" s="59"/>
      <c r="F14" s="59"/>
      <c r="G14" s="59"/>
      <c r="H14" s="59"/>
      <c r="I14" s="59"/>
      <c r="J14" s="59"/>
      <c r="K14" s="60"/>
      <c r="L14" s="191" t="s">
        <v>95</v>
      </c>
      <c r="M14" s="192"/>
      <c r="N14" s="192"/>
      <c r="O14" s="192"/>
      <c r="P14" s="192"/>
      <c r="Q14" s="192"/>
      <c r="R14" s="192"/>
      <c r="S14" s="193"/>
      <c r="T14" s="194" t="s">
        <v>42</v>
      </c>
      <c r="U14" s="195"/>
      <c r="V14" s="196"/>
      <c r="W14" s="197" t="s">
        <v>91</v>
      </c>
      <c r="X14" s="198"/>
      <c r="Y14" s="197">
        <v>4</v>
      </c>
      <c r="Z14" s="198"/>
      <c r="AA14" s="197"/>
      <c r="AB14" s="198"/>
      <c r="AC14" s="47"/>
      <c r="AD14" s="22"/>
      <c r="AE14" s="22"/>
      <c r="AF14" s="22"/>
      <c r="AG14" s="49"/>
      <c r="AH14" s="197"/>
      <c r="AI14" s="198"/>
      <c r="AJ14" s="199"/>
      <c r="AK14" s="200"/>
      <c r="AL14" s="197"/>
      <c r="AM14" s="201"/>
      <c r="AN14" s="198"/>
      <c r="AO14" s="192"/>
      <c r="AP14" s="192"/>
      <c r="AQ14" s="192"/>
      <c r="AR14" s="192"/>
      <c r="AS14" s="192"/>
      <c r="AT14" s="192"/>
      <c r="AU14" s="192"/>
      <c r="AV14" s="192"/>
      <c r="AW14" s="192"/>
      <c r="AX14" s="192"/>
      <c r="AY14" s="193"/>
    </row>
    <row r="15" spans="1:51">
      <c r="A15" s="189">
        <f t="shared" si="0"/>
        <v>4</v>
      </c>
      <c r="B15" s="190"/>
      <c r="C15" s="61" t="s">
        <v>84</v>
      </c>
      <c r="D15" s="59"/>
      <c r="E15" s="59"/>
      <c r="F15" s="59"/>
      <c r="G15" s="59"/>
      <c r="H15" s="59"/>
      <c r="I15" s="59"/>
      <c r="J15" s="59"/>
      <c r="K15" s="60"/>
      <c r="L15" s="191" t="s">
        <v>96</v>
      </c>
      <c r="M15" s="192"/>
      <c r="N15" s="192"/>
      <c r="O15" s="192"/>
      <c r="P15" s="192"/>
      <c r="Q15" s="192"/>
      <c r="R15" s="192"/>
      <c r="S15" s="193"/>
      <c r="T15" s="194" t="s">
        <v>41</v>
      </c>
      <c r="U15" s="195"/>
      <c r="V15" s="196"/>
      <c r="W15" s="197" t="s">
        <v>43</v>
      </c>
      <c r="X15" s="198"/>
      <c r="Y15" s="197">
        <v>8</v>
      </c>
      <c r="Z15" s="198"/>
      <c r="AA15" s="197"/>
      <c r="AB15" s="198"/>
      <c r="AC15" s="47"/>
      <c r="AD15" s="22"/>
      <c r="AE15" s="22"/>
      <c r="AF15" s="22"/>
      <c r="AG15" s="49"/>
      <c r="AH15" s="197"/>
      <c r="AI15" s="198"/>
      <c r="AJ15" s="199"/>
      <c r="AK15" s="200"/>
      <c r="AL15" s="197"/>
      <c r="AM15" s="201"/>
      <c r="AN15" s="198"/>
      <c r="AO15" s="192"/>
      <c r="AP15" s="192"/>
      <c r="AQ15" s="192"/>
      <c r="AR15" s="192"/>
      <c r="AS15" s="192"/>
      <c r="AT15" s="192"/>
      <c r="AU15" s="192"/>
      <c r="AV15" s="192"/>
      <c r="AW15" s="192"/>
      <c r="AX15" s="192"/>
      <c r="AY15" s="193"/>
    </row>
    <row r="16" spans="1:51">
      <c r="A16" s="189">
        <f t="shared" si="0"/>
        <v>5</v>
      </c>
      <c r="B16" s="190"/>
      <c r="C16" s="61" t="s">
        <v>85</v>
      </c>
      <c r="D16" s="59"/>
      <c r="E16" s="59"/>
      <c r="F16" s="59"/>
      <c r="G16" s="59"/>
      <c r="H16" s="59"/>
      <c r="I16" s="59"/>
      <c r="J16" s="59"/>
      <c r="K16" s="60"/>
      <c r="L16" s="191" t="s">
        <v>97</v>
      </c>
      <c r="M16" s="192"/>
      <c r="N16" s="192"/>
      <c r="O16" s="192"/>
      <c r="P16" s="192"/>
      <c r="Q16" s="192"/>
      <c r="R16" s="192"/>
      <c r="S16" s="193"/>
      <c r="T16" s="194" t="s">
        <v>40</v>
      </c>
      <c r="U16" s="195"/>
      <c r="V16" s="196"/>
      <c r="W16" s="197">
        <v>60</v>
      </c>
      <c r="X16" s="198"/>
      <c r="Y16" s="197">
        <v>60</v>
      </c>
      <c r="Z16" s="198"/>
      <c r="AA16" s="197"/>
      <c r="AB16" s="198"/>
      <c r="AC16" s="47"/>
      <c r="AD16" s="22"/>
      <c r="AE16" s="22"/>
      <c r="AF16" s="22"/>
      <c r="AG16" s="49"/>
      <c r="AH16" s="197"/>
      <c r="AI16" s="198"/>
      <c r="AJ16" s="199"/>
      <c r="AK16" s="200"/>
      <c r="AL16" s="197"/>
      <c r="AM16" s="201"/>
      <c r="AN16" s="198"/>
      <c r="AO16" s="192"/>
      <c r="AP16" s="192"/>
      <c r="AQ16" s="192"/>
      <c r="AR16" s="192"/>
      <c r="AS16" s="192"/>
      <c r="AT16" s="192"/>
      <c r="AU16" s="192"/>
      <c r="AV16" s="192"/>
      <c r="AW16" s="192"/>
      <c r="AX16" s="192"/>
      <c r="AY16" s="193"/>
    </row>
    <row r="17" spans="1:51">
      <c r="A17" s="189">
        <f t="shared" si="0"/>
        <v>6</v>
      </c>
      <c r="B17" s="190"/>
      <c r="C17" s="61" t="s">
        <v>92</v>
      </c>
      <c r="D17" s="59"/>
      <c r="E17" s="59"/>
      <c r="F17" s="59"/>
      <c r="G17" s="59"/>
      <c r="H17" s="59"/>
      <c r="I17" s="59"/>
      <c r="J17" s="59"/>
      <c r="K17" s="60"/>
      <c r="L17" s="191" t="s">
        <v>98</v>
      </c>
      <c r="M17" s="192"/>
      <c r="N17" s="192"/>
      <c r="O17" s="192"/>
      <c r="P17" s="192"/>
      <c r="Q17" s="192"/>
      <c r="R17" s="192"/>
      <c r="S17" s="193"/>
      <c r="T17" s="194" t="s">
        <v>42</v>
      </c>
      <c r="U17" s="195"/>
      <c r="V17" s="196"/>
      <c r="W17" s="197" t="s">
        <v>91</v>
      </c>
      <c r="X17" s="198"/>
      <c r="Y17" s="197">
        <v>4</v>
      </c>
      <c r="Z17" s="198"/>
      <c r="AA17" s="197"/>
      <c r="AB17" s="198"/>
      <c r="AC17" s="47"/>
      <c r="AD17" s="22"/>
      <c r="AE17" s="22"/>
      <c r="AF17" s="22"/>
      <c r="AG17" s="49"/>
      <c r="AH17" s="197"/>
      <c r="AI17" s="198"/>
      <c r="AJ17" s="199"/>
      <c r="AK17" s="200"/>
      <c r="AL17" s="197"/>
      <c r="AM17" s="201"/>
      <c r="AN17" s="198"/>
      <c r="AO17" s="192"/>
      <c r="AP17" s="192"/>
      <c r="AQ17" s="192"/>
      <c r="AR17" s="192"/>
      <c r="AS17" s="192"/>
      <c r="AT17" s="192"/>
      <c r="AU17" s="192"/>
      <c r="AV17" s="192"/>
      <c r="AW17" s="192"/>
      <c r="AX17" s="192"/>
      <c r="AY17" s="193"/>
    </row>
    <row r="18" spans="1:51">
      <c r="A18" s="189">
        <f t="shared" si="0"/>
        <v>7</v>
      </c>
      <c r="B18" s="190"/>
      <c r="C18" s="61" t="s">
        <v>100</v>
      </c>
      <c r="D18" s="59"/>
      <c r="E18" s="59"/>
      <c r="F18" s="59"/>
      <c r="G18" s="59"/>
      <c r="H18" s="59"/>
      <c r="I18" s="59"/>
      <c r="J18" s="59"/>
      <c r="K18" s="60"/>
      <c r="L18" s="191" t="s">
        <v>103</v>
      </c>
      <c r="M18" s="192"/>
      <c r="N18" s="192"/>
      <c r="O18" s="192"/>
      <c r="P18" s="192"/>
      <c r="Q18" s="192"/>
      <c r="R18" s="192"/>
      <c r="S18" s="193"/>
      <c r="T18" s="194" t="s">
        <v>41</v>
      </c>
      <c r="U18" s="195"/>
      <c r="V18" s="196"/>
      <c r="W18" s="197" t="s">
        <v>43</v>
      </c>
      <c r="X18" s="198"/>
      <c r="Y18" s="197">
        <v>8</v>
      </c>
      <c r="Z18" s="198"/>
      <c r="AA18" s="197"/>
      <c r="AB18" s="198"/>
      <c r="AC18" s="47"/>
      <c r="AD18" s="22"/>
      <c r="AE18" s="22"/>
      <c r="AF18" s="22"/>
      <c r="AG18" s="49"/>
      <c r="AH18" s="197"/>
      <c r="AI18" s="198"/>
      <c r="AJ18" s="199"/>
      <c r="AK18" s="200"/>
      <c r="AL18" s="197"/>
      <c r="AM18" s="201"/>
      <c r="AN18" s="198"/>
      <c r="AO18" s="192"/>
      <c r="AP18" s="192"/>
      <c r="AQ18" s="192"/>
      <c r="AR18" s="192"/>
      <c r="AS18" s="192"/>
      <c r="AT18" s="192"/>
      <c r="AU18" s="192"/>
      <c r="AV18" s="192"/>
      <c r="AW18" s="192"/>
      <c r="AX18" s="192"/>
      <c r="AY18" s="193"/>
    </row>
    <row r="19" spans="1:51">
      <c r="A19" s="189">
        <f t="shared" si="0"/>
        <v>8</v>
      </c>
      <c r="B19" s="190"/>
      <c r="C19" s="61" t="s">
        <v>101</v>
      </c>
      <c r="D19" s="59"/>
      <c r="E19" s="59"/>
      <c r="F19" s="59"/>
      <c r="G19" s="59"/>
      <c r="H19" s="59"/>
      <c r="I19" s="59"/>
      <c r="J19" s="59"/>
      <c r="K19" s="60"/>
      <c r="L19" s="191" t="s">
        <v>104</v>
      </c>
      <c r="M19" s="192"/>
      <c r="N19" s="192"/>
      <c r="O19" s="192"/>
      <c r="P19" s="192"/>
      <c r="Q19" s="192"/>
      <c r="R19" s="192"/>
      <c r="S19" s="193"/>
      <c r="T19" s="194" t="s">
        <v>40</v>
      </c>
      <c r="U19" s="195"/>
      <c r="V19" s="196"/>
      <c r="W19" s="197">
        <v>60</v>
      </c>
      <c r="X19" s="198"/>
      <c r="Y19" s="197">
        <v>60</v>
      </c>
      <c r="Z19" s="198"/>
      <c r="AA19" s="197"/>
      <c r="AB19" s="198"/>
      <c r="AC19" s="47"/>
      <c r="AD19" s="22"/>
      <c r="AE19" s="22"/>
      <c r="AF19" s="22"/>
      <c r="AG19" s="49"/>
      <c r="AH19" s="197"/>
      <c r="AI19" s="198"/>
      <c r="AJ19" s="199"/>
      <c r="AK19" s="200"/>
      <c r="AL19" s="197"/>
      <c r="AM19" s="201"/>
      <c r="AN19" s="198"/>
      <c r="AO19" s="192"/>
      <c r="AP19" s="192"/>
      <c r="AQ19" s="192"/>
      <c r="AR19" s="192"/>
      <c r="AS19" s="192"/>
      <c r="AT19" s="192"/>
      <c r="AU19" s="192"/>
      <c r="AV19" s="192"/>
      <c r="AW19" s="192"/>
      <c r="AX19" s="192"/>
      <c r="AY19" s="193"/>
    </row>
    <row r="20" spans="1:51">
      <c r="A20" s="189">
        <f t="shared" si="0"/>
        <v>9</v>
      </c>
      <c r="B20" s="190"/>
      <c r="C20" s="61" t="s">
        <v>102</v>
      </c>
      <c r="D20" s="59"/>
      <c r="E20" s="59"/>
      <c r="F20" s="59"/>
      <c r="G20" s="59"/>
      <c r="H20" s="59"/>
      <c r="I20" s="59"/>
      <c r="J20" s="59"/>
      <c r="K20" s="60"/>
      <c r="L20" s="191" t="s">
        <v>105</v>
      </c>
      <c r="M20" s="192"/>
      <c r="N20" s="192"/>
      <c r="O20" s="192"/>
      <c r="P20" s="192"/>
      <c r="Q20" s="192"/>
      <c r="R20" s="192"/>
      <c r="S20" s="193"/>
      <c r="T20" s="194" t="s">
        <v>42</v>
      </c>
      <c r="U20" s="195"/>
      <c r="V20" s="196"/>
      <c r="W20" s="197" t="s">
        <v>91</v>
      </c>
      <c r="X20" s="198"/>
      <c r="Y20" s="197">
        <v>4</v>
      </c>
      <c r="Z20" s="198"/>
      <c r="AA20" s="197"/>
      <c r="AB20" s="198"/>
      <c r="AC20" s="47"/>
      <c r="AD20" s="22"/>
      <c r="AE20" s="22"/>
      <c r="AF20" s="22"/>
      <c r="AG20" s="49"/>
      <c r="AH20" s="197"/>
      <c r="AI20" s="198"/>
      <c r="AJ20" s="199"/>
      <c r="AK20" s="200"/>
      <c r="AL20" s="197"/>
      <c r="AM20" s="201"/>
      <c r="AN20" s="198"/>
      <c r="AO20" s="192"/>
      <c r="AP20" s="192"/>
      <c r="AQ20" s="192"/>
      <c r="AR20" s="192"/>
      <c r="AS20" s="192"/>
      <c r="AT20" s="192"/>
      <c r="AU20" s="192"/>
      <c r="AV20" s="192"/>
      <c r="AW20" s="192"/>
      <c r="AX20" s="192"/>
      <c r="AY20" s="193"/>
    </row>
    <row r="21" spans="1:51">
      <c r="A21" s="189">
        <f>ROW()-11</f>
        <v>10</v>
      </c>
      <c r="B21" s="190"/>
      <c r="C21" s="61" t="s">
        <v>86</v>
      </c>
      <c r="D21" s="59"/>
      <c r="E21" s="59"/>
      <c r="F21" s="59"/>
      <c r="G21" s="59"/>
      <c r="H21" s="59"/>
      <c r="I21" s="59"/>
      <c r="J21" s="59"/>
      <c r="K21" s="60"/>
      <c r="L21" s="191" t="s">
        <v>99</v>
      </c>
      <c r="M21" s="192"/>
      <c r="N21" s="192"/>
      <c r="O21" s="192"/>
      <c r="P21" s="192"/>
      <c r="Q21" s="192"/>
      <c r="R21" s="192"/>
      <c r="S21" s="193"/>
      <c r="T21" s="194" t="s">
        <v>42</v>
      </c>
      <c r="U21" s="195"/>
      <c r="V21" s="196"/>
      <c r="W21" s="197">
        <v>1</v>
      </c>
      <c r="X21" s="198"/>
      <c r="Y21" s="197">
        <v>1</v>
      </c>
      <c r="Z21" s="198"/>
      <c r="AA21" s="197"/>
      <c r="AB21" s="198"/>
      <c r="AC21" s="47"/>
      <c r="AD21" s="22"/>
      <c r="AE21" s="22"/>
      <c r="AF21" s="22"/>
      <c r="AG21" s="49"/>
      <c r="AH21" s="197"/>
      <c r="AI21" s="198"/>
      <c r="AJ21" s="199"/>
      <c r="AK21" s="200"/>
      <c r="AL21" s="197">
        <v>0</v>
      </c>
      <c r="AM21" s="201"/>
      <c r="AN21" s="198"/>
      <c r="AO21" s="192" t="s">
        <v>44</v>
      </c>
      <c r="AP21" s="192"/>
      <c r="AQ21" s="192"/>
      <c r="AR21" s="192"/>
      <c r="AS21" s="192"/>
      <c r="AT21" s="192"/>
      <c r="AU21" s="192"/>
      <c r="AV21" s="192"/>
      <c r="AW21" s="192"/>
      <c r="AX21" s="192"/>
      <c r="AY21" s="193"/>
    </row>
    <row r="22" spans="1:51">
      <c r="A22" s="202">
        <f t="shared" si="0"/>
        <v>11</v>
      </c>
      <c r="B22" s="204"/>
      <c r="C22" s="48" t="s">
        <v>193</v>
      </c>
      <c r="D22" s="42"/>
      <c r="E22" s="42"/>
      <c r="F22" s="42"/>
      <c r="G22" s="42"/>
      <c r="H22" s="42"/>
      <c r="I22" s="42"/>
      <c r="J22" s="42"/>
      <c r="K22" s="44"/>
      <c r="L22" s="48" t="s">
        <v>193</v>
      </c>
      <c r="M22" s="42"/>
      <c r="N22" s="42"/>
      <c r="O22" s="42"/>
      <c r="P22" s="42"/>
      <c r="Q22" s="42"/>
      <c r="R22" s="42"/>
      <c r="S22" s="44"/>
      <c r="T22" s="207" t="s">
        <v>42</v>
      </c>
      <c r="U22" s="208"/>
      <c r="V22" s="209"/>
      <c r="W22" s="220" t="s">
        <v>127</v>
      </c>
      <c r="X22" s="221"/>
      <c r="Y22" s="220">
        <v>2</v>
      </c>
      <c r="Z22" s="221"/>
      <c r="AA22" s="215">
        <v>1</v>
      </c>
      <c r="AB22" s="216"/>
      <c r="AC22" s="46"/>
      <c r="AD22" s="24"/>
      <c r="AE22" s="24"/>
      <c r="AF22" s="24"/>
      <c r="AG22" s="51"/>
      <c r="AH22" s="215"/>
      <c r="AI22" s="216"/>
      <c r="AJ22" s="212" t="s">
        <v>128</v>
      </c>
      <c r="AK22" s="213"/>
      <c r="AL22" s="215"/>
      <c r="AM22" s="217"/>
      <c r="AN22" s="216"/>
      <c r="AO22" s="205"/>
      <c r="AP22" s="205"/>
      <c r="AQ22" s="205"/>
      <c r="AR22" s="205"/>
      <c r="AS22" s="205"/>
      <c r="AT22" s="205"/>
      <c r="AU22" s="205"/>
      <c r="AV22" s="205"/>
      <c r="AW22" s="205"/>
      <c r="AX22" s="205"/>
      <c r="AY22" s="206"/>
    </row>
    <row r="23" spans="1:51">
      <c r="A23" s="202">
        <f t="shared" si="0"/>
        <v>12</v>
      </c>
      <c r="B23" s="204"/>
      <c r="C23" s="48" t="s">
        <v>201</v>
      </c>
      <c r="D23" s="42"/>
      <c r="E23" s="42"/>
      <c r="F23" s="42"/>
      <c r="G23" s="42"/>
      <c r="H23" s="42"/>
      <c r="I23" s="42"/>
      <c r="J23" s="42"/>
      <c r="K23" s="44"/>
      <c r="L23" s="48" t="s">
        <v>201</v>
      </c>
      <c r="M23" s="42"/>
      <c r="N23" s="42"/>
      <c r="O23" s="42"/>
      <c r="P23" s="42"/>
      <c r="Q23" s="42"/>
      <c r="R23" s="42"/>
      <c r="S23" s="44"/>
      <c r="T23" s="207" t="s">
        <v>40</v>
      </c>
      <c r="U23" s="208"/>
      <c r="V23" s="209"/>
      <c r="W23" s="202">
        <v>60</v>
      </c>
      <c r="X23" s="204"/>
      <c r="Y23" s="202">
        <v>60</v>
      </c>
      <c r="Z23" s="204"/>
      <c r="AA23" s="202"/>
      <c r="AB23" s="204"/>
      <c r="AC23" s="46"/>
      <c r="AD23" s="24"/>
      <c r="AE23" s="24"/>
      <c r="AF23" s="24"/>
      <c r="AG23" s="51"/>
      <c r="AH23" s="202"/>
      <c r="AI23" s="204"/>
      <c r="AJ23" s="212"/>
      <c r="AK23" s="213"/>
      <c r="AL23" s="202"/>
      <c r="AM23" s="203"/>
      <c r="AN23" s="204"/>
      <c r="AO23" s="205"/>
      <c r="AP23" s="205"/>
      <c r="AQ23" s="205"/>
      <c r="AR23" s="205"/>
      <c r="AS23" s="205"/>
      <c r="AT23" s="205"/>
      <c r="AU23" s="205"/>
      <c r="AV23" s="205"/>
      <c r="AW23" s="205"/>
      <c r="AX23" s="205"/>
      <c r="AY23" s="206"/>
    </row>
    <row r="24" spans="1:51">
      <c r="A24" s="202">
        <f t="shared" si="0"/>
        <v>13</v>
      </c>
      <c r="B24" s="204"/>
      <c r="C24" s="48" t="s">
        <v>202</v>
      </c>
      <c r="D24" s="42"/>
      <c r="E24" s="42"/>
      <c r="F24" s="42"/>
      <c r="G24" s="42"/>
      <c r="H24" s="42"/>
      <c r="I24" s="42"/>
      <c r="J24" s="42"/>
      <c r="K24" s="44"/>
      <c r="L24" s="48" t="s">
        <v>202</v>
      </c>
      <c r="M24" s="42"/>
      <c r="N24" s="42"/>
      <c r="O24" s="42"/>
      <c r="P24" s="42"/>
      <c r="Q24" s="42"/>
      <c r="R24" s="42"/>
      <c r="S24" s="44"/>
      <c r="T24" s="207" t="s">
        <v>40</v>
      </c>
      <c r="U24" s="208"/>
      <c r="V24" s="209"/>
      <c r="W24" s="202">
        <v>60</v>
      </c>
      <c r="X24" s="204"/>
      <c r="Y24" s="202">
        <v>60</v>
      </c>
      <c r="Z24" s="204"/>
      <c r="AA24" s="202"/>
      <c r="AB24" s="204"/>
      <c r="AC24" s="46"/>
      <c r="AD24" s="24"/>
      <c r="AE24" s="24"/>
      <c r="AF24" s="24"/>
      <c r="AG24" s="51"/>
      <c r="AH24" s="202"/>
      <c r="AI24" s="204"/>
      <c r="AJ24" s="100"/>
      <c r="AK24" s="102"/>
      <c r="AL24" s="202"/>
      <c r="AM24" s="203"/>
      <c r="AN24" s="204"/>
      <c r="AO24" s="205"/>
      <c r="AP24" s="205"/>
      <c r="AQ24" s="205"/>
      <c r="AR24" s="205"/>
      <c r="AS24" s="205"/>
      <c r="AT24" s="205"/>
      <c r="AU24" s="205"/>
      <c r="AV24" s="205"/>
      <c r="AW24" s="205"/>
      <c r="AX24" s="205"/>
      <c r="AY24" s="206"/>
    </row>
    <row r="25" spans="1:51">
      <c r="A25" s="202">
        <f t="shared" si="0"/>
        <v>14</v>
      </c>
      <c r="B25" s="204"/>
      <c r="C25" s="48"/>
      <c r="D25" s="42"/>
      <c r="E25" s="42"/>
      <c r="F25" s="42"/>
      <c r="G25" s="42"/>
      <c r="H25" s="42"/>
      <c r="I25" s="42"/>
      <c r="J25" s="42"/>
      <c r="K25" s="44"/>
      <c r="L25" s="48"/>
      <c r="M25" s="42"/>
      <c r="N25" s="42"/>
      <c r="O25" s="42"/>
      <c r="P25" s="42"/>
      <c r="Q25" s="42"/>
      <c r="R25" s="42"/>
      <c r="S25" s="44"/>
      <c r="T25" s="207"/>
      <c r="U25" s="208"/>
      <c r="V25" s="209"/>
      <c r="W25" s="202"/>
      <c r="X25" s="204"/>
      <c r="Y25" s="202"/>
      <c r="Z25" s="204"/>
      <c r="AA25" s="202"/>
      <c r="AB25" s="204"/>
      <c r="AC25" s="45"/>
      <c r="AD25" s="23"/>
      <c r="AE25" s="23"/>
      <c r="AF25" s="23"/>
      <c r="AG25" s="50"/>
      <c r="AH25" s="202"/>
      <c r="AI25" s="204"/>
      <c r="AJ25" s="100"/>
      <c r="AK25" s="102"/>
      <c r="AL25" s="202"/>
      <c r="AM25" s="203"/>
      <c r="AN25" s="204"/>
      <c r="AO25" s="205"/>
      <c r="AP25" s="205"/>
      <c r="AQ25" s="205"/>
      <c r="AR25" s="205"/>
      <c r="AS25" s="205"/>
      <c r="AT25" s="205"/>
      <c r="AU25" s="205"/>
      <c r="AV25" s="205"/>
      <c r="AW25" s="205"/>
      <c r="AX25" s="205"/>
      <c r="AY25" s="206"/>
    </row>
    <row r="26" spans="1:51">
      <c r="A26" s="202">
        <f t="shared" si="0"/>
        <v>15</v>
      </c>
      <c r="B26" s="204"/>
      <c r="C26" s="48"/>
      <c r="D26" s="42"/>
      <c r="E26" s="42"/>
      <c r="F26" s="42"/>
      <c r="G26" s="42"/>
      <c r="H26" s="42"/>
      <c r="I26" s="42"/>
      <c r="J26" s="42"/>
      <c r="K26" s="44"/>
      <c r="L26" s="48"/>
      <c r="M26" s="42"/>
      <c r="N26" s="42"/>
      <c r="O26" s="42"/>
      <c r="P26" s="42"/>
      <c r="Q26" s="42"/>
      <c r="R26" s="42"/>
      <c r="S26" s="44"/>
      <c r="T26" s="207"/>
      <c r="U26" s="208"/>
      <c r="V26" s="209"/>
      <c r="W26" s="202"/>
      <c r="X26" s="204"/>
      <c r="Y26" s="202"/>
      <c r="Z26" s="204"/>
      <c r="AA26" s="215"/>
      <c r="AB26" s="216"/>
      <c r="AC26" s="46"/>
      <c r="AD26" s="24"/>
      <c r="AE26" s="24"/>
      <c r="AF26" s="24"/>
      <c r="AG26" s="51"/>
      <c r="AH26" s="215"/>
      <c r="AI26" s="216"/>
      <c r="AJ26" s="100"/>
      <c r="AK26" s="102"/>
      <c r="AL26" s="215"/>
      <c r="AM26" s="217"/>
      <c r="AN26" s="216"/>
      <c r="AO26" s="205"/>
      <c r="AP26" s="205"/>
      <c r="AQ26" s="205"/>
      <c r="AR26" s="205"/>
      <c r="AS26" s="205"/>
      <c r="AT26" s="205"/>
      <c r="AU26" s="205"/>
      <c r="AV26" s="205"/>
      <c r="AW26" s="205"/>
      <c r="AX26" s="205"/>
      <c r="AY26" s="206"/>
    </row>
    <row r="27" spans="1:51">
      <c r="A27" s="218">
        <f t="shared" si="0"/>
        <v>16</v>
      </c>
      <c r="B27" s="219"/>
      <c r="C27" s="48"/>
      <c r="D27" s="42"/>
      <c r="E27" s="42"/>
      <c r="F27" s="42"/>
      <c r="G27" s="42"/>
      <c r="H27" s="42"/>
      <c r="I27" s="42"/>
      <c r="J27" s="42"/>
      <c r="K27" s="44"/>
      <c r="L27" s="48"/>
      <c r="M27" s="42"/>
      <c r="N27" s="42"/>
      <c r="O27" s="42"/>
      <c r="P27" s="42"/>
      <c r="Q27" s="42"/>
      <c r="R27" s="42"/>
      <c r="S27" s="44"/>
      <c r="T27" s="207"/>
      <c r="U27" s="208"/>
      <c r="V27" s="209"/>
      <c r="W27" s="202"/>
      <c r="X27" s="204"/>
      <c r="Y27" s="202"/>
      <c r="Z27" s="204"/>
      <c r="AA27" s="220"/>
      <c r="AB27" s="221"/>
      <c r="AC27" s="45"/>
      <c r="AD27" s="23"/>
      <c r="AE27" s="23"/>
      <c r="AF27" s="23"/>
      <c r="AG27" s="50"/>
      <c r="AH27" s="220"/>
      <c r="AI27" s="221"/>
      <c r="AJ27" s="223"/>
      <c r="AK27" s="224"/>
      <c r="AL27" s="220"/>
      <c r="AM27" s="222"/>
      <c r="AN27" s="221"/>
      <c r="AO27" s="205"/>
      <c r="AP27" s="205"/>
      <c r="AQ27" s="205"/>
      <c r="AR27" s="205"/>
      <c r="AS27" s="205"/>
      <c r="AT27" s="205"/>
      <c r="AU27" s="205"/>
      <c r="AV27" s="205"/>
      <c r="AW27" s="205"/>
      <c r="AX27" s="205"/>
      <c r="AY27" s="206"/>
    </row>
    <row r="28" spans="1:51">
      <c r="A28" s="218">
        <f t="shared" si="0"/>
        <v>17</v>
      </c>
      <c r="B28" s="219"/>
      <c r="C28" s="48"/>
      <c r="D28" s="42"/>
      <c r="E28" s="42"/>
      <c r="F28" s="42"/>
      <c r="G28" s="42"/>
      <c r="H28" s="42"/>
      <c r="I28" s="42"/>
      <c r="J28" s="42"/>
      <c r="K28" s="44"/>
      <c r="L28" s="48"/>
      <c r="M28" s="42"/>
      <c r="N28" s="42"/>
      <c r="O28" s="42"/>
      <c r="P28" s="42"/>
      <c r="Q28" s="42"/>
      <c r="R28" s="42"/>
      <c r="S28" s="44"/>
      <c r="T28" s="207"/>
      <c r="U28" s="208"/>
      <c r="V28" s="209"/>
      <c r="W28" s="202"/>
      <c r="X28" s="204"/>
      <c r="Y28" s="202"/>
      <c r="Z28" s="204"/>
      <c r="AA28" s="202"/>
      <c r="AB28" s="204"/>
      <c r="AC28" s="45"/>
      <c r="AD28" s="23"/>
      <c r="AE28" s="23"/>
      <c r="AF28" s="23"/>
      <c r="AG28" s="50"/>
      <c r="AH28" s="202"/>
      <c r="AI28" s="204"/>
      <c r="AJ28" s="100"/>
      <c r="AK28" s="102"/>
      <c r="AL28" s="202"/>
      <c r="AM28" s="203"/>
      <c r="AN28" s="204"/>
      <c r="AO28" s="205"/>
      <c r="AP28" s="205"/>
      <c r="AQ28" s="205"/>
      <c r="AR28" s="205"/>
      <c r="AS28" s="205"/>
      <c r="AT28" s="205"/>
      <c r="AU28" s="205"/>
      <c r="AV28" s="205"/>
      <c r="AW28" s="205"/>
      <c r="AX28" s="205"/>
      <c r="AY28" s="206"/>
    </row>
    <row r="29" spans="1:51">
      <c r="A29" s="218">
        <f t="shared" si="0"/>
        <v>18</v>
      </c>
      <c r="B29" s="219"/>
      <c r="C29" s="48"/>
      <c r="D29" s="42"/>
      <c r="E29" s="42"/>
      <c r="F29" s="42"/>
      <c r="G29" s="42"/>
      <c r="H29" s="42"/>
      <c r="I29" s="42"/>
      <c r="J29" s="42"/>
      <c r="K29" s="44"/>
      <c r="L29" s="48"/>
      <c r="M29" s="42"/>
      <c r="N29" s="42"/>
      <c r="O29" s="42"/>
      <c r="P29" s="42"/>
      <c r="Q29" s="42"/>
      <c r="R29" s="42"/>
      <c r="S29" s="44"/>
      <c r="T29" s="207"/>
      <c r="U29" s="208"/>
      <c r="V29" s="209"/>
      <c r="W29" s="202"/>
      <c r="X29" s="204"/>
      <c r="Y29" s="202"/>
      <c r="Z29" s="204"/>
      <c r="AA29" s="202"/>
      <c r="AB29" s="204"/>
      <c r="AC29" s="45"/>
      <c r="AD29" s="23"/>
      <c r="AE29" s="23"/>
      <c r="AF29" s="23"/>
      <c r="AG29" s="50"/>
      <c r="AH29" s="202"/>
      <c r="AI29" s="204"/>
      <c r="AJ29" s="100"/>
      <c r="AK29" s="102"/>
      <c r="AL29" s="202"/>
      <c r="AM29" s="203"/>
      <c r="AN29" s="204"/>
      <c r="AO29" s="205"/>
      <c r="AP29" s="205"/>
      <c r="AQ29" s="205"/>
      <c r="AR29" s="205"/>
      <c r="AS29" s="205"/>
      <c r="AT29" s="205"/>
      <c r="AU29" s="205"/>
      <c r="AV29" s="205"/>
      <c r="AW29" s="205"/>
      <c r="AX29" s="205"/>
      <c r="AY29" s="206"/>
    </row>
    <row r="30" spans="1:51">
      <c r="A30" s="218">
        <f t="shared" si="0"/>
        <v>19</v>
      </c>
      <c r="B30" s="219"/>
      <c r="C30" s="48"/>
      <c r="D30" s="42"/>
      <c r="E30" s="42"/>
      <c r="F30" s="42"/>
      <c r="G30" s="42"/>
      <c r="H30" s="42"/>
      <c r="I30" s="42"/>
      <c r="J30" s="42"/>
      <c r="K30" s="44"/>
      <c r="L30" s="48"/>
      <c r="M30" s="42"/>
      <c r="N30" s="42"/>
      <c r="O30" s="42"/>
      <c r="P30" s="42"/>
      <c r="Q30" s="42"/>
      <c r="R30" s="42"/>
      <c r="S30" s="44"/>
      <c r="T30" s="207"/>
      <c r="U30" s="208"/>
      <c r="V30" s="209"/>
      <c r="W30" s="202"/>
      <c r="X30" s="204"/>
      <c r="Y30" s="202"/>
      <c r="Z30" s="204"/>
      <c r="AA30" s="220"/>
      <c r="AB30" s="221"/>
      <c r="AC30" s="45"/>
      <c r="AD30" s="23"/>
      <c r="AE30" s="23"/>
      <c r="AF30" s="23"/>
      <c r="AG30" s="50"/>
      <c r="AH30" s="220"/>
      <c r="AI30" s="221"/>
      <c r="AJ30" s="223"/>
      <c r="AK30" s="224"/>
      <c r="AL30" s="220"/>
      <c r="AM30" s="222"/>
      <c r="AN30" s="221"/>
      <c r="AO30" s="205"/>
      <c r="AP30" s="205"/>
      <c r="AQ30" s="205"/>
      <c r="AR30" s="205"/>
      <c r="AS30" s="205"/>
      <c r="AT30" s="205"/>
      <c r="AU30" s="205"/>
      <c r="AV30" s="205"/>
      <c r="AW30" s="205"/>
      <c r="AX30" s="205"/>
      <c r="AY30" s="206"/>
    </row>
    <row r="31" spans="1:51">
      <c r="A31" s="218">
        <f t="shared" si="0"/>
        <v>20</v>
      </c>
      <c r="B31" s="219"/>
      <c r="C31" s="48"/>
      <c r="D31" s="42"/>
      <c r="E31" s="42"/>
      <c r="F31" s="42"/>
      <c r="G31" s="42"/>
      <c r="H31" s="42"/>
      <c r="I31" s="42"/>
      <c r="J31" s="42"/>
      <c r="K31" s="44"/>
      <c r="L31" s="48"/>
      <c r="M31" s="42"/>
      <c r="N31" s="42"/>
      <c r="O31" s="42"/>
      <c r="P31" s="42"/>
      <c r="Q31" s="42"/>
      <c r="R31" s="42"/>
      <c r="S31" s="44"/>
      <c r="T31" s="207"/>
      <c r="U31" s="208"/>
      <c r="V31" s="209"/>
      <c r="W31" s="202"/>
      <c r="X31" s="204"/>
      <c r="Y31" s="220"/>
      <c r="Z31" s="221"/>
      <c r="AA31" s="220"/>
      <c r="AB31" s="221"/>
      <c r="AC31" s="45"/>
      <c r="AD31" s="23"/>
      <c r="AE31" s="23"/>
      <c r="AF31" s="23"/>
      <c r="AG31" s="50"/>
      <c r="AH31" s="220"/>
      <c r="AI31" s="221"/>
      <c r="AJ31" s="223"/>
      <c r="AK31" s="224"/>
      <c r="AL31" s="220"/>
      <c r="AM31" s="222"/>
      <c r="AN31" s="221"/>
      <c r="AO31" s="205"/>
      <c r="AP31" s="205"/>
      <c r="AQ31" s="205"/>
      <c r="AR31" s="205"/>
      <c r="AS31" s="205"/>
      <c r="AT31" s="205"/>
      <c r="AU31" s="205"/>
      <c r="AV31" s="205"/>
      <c r="AW31" s="205"/>
      <c r="AX31" s="205"/>
      <c r="AY31" s="206"/>
    </row>
    <row r="32" spans="1:51">
      <c r="A32" s="218">
        <f t="shared" si="0"/>
        <v>21</v>
      </c>
      <c r="B32" s="219"/>
      <c r="C32" s="48"/>
      <c r="D32" s="42"/>
      <c r="E32" s="42"/>
      <c r="F32" s="42"/>
      <c r="G32" s="42"/>
      <c r="H32" s="42"/>
      <c r="I32" s="42"/>
      <c r="J32" s="42"/>
      <c r="K32" s="44"/>
      <c r="L32" s="48"/>
      <c r="M32" s="42"/>
      <c r="N32" s="42"/>
      <c r="O32" s="42"/>
      <c r="P32" s="42"/>
      <c r="Q32" s="42"/>
      <c r="R32" s="42"/>
      <c r="S32" s="44"/>
      <c r="T32" s="207"/>
      <c r="U32" s="208"/>
      <c r="V32" s="209"/>
      <c r="W32" s="202"/>
      <c r="X32" s="204"/>
      <c r="Y32" s="220"/>
      <c r="Z32" s="221"/>
      <c r="AA32" s="220"/>
      <c r="AB32" s="221"/>
      <c r="AC32" s="45"/>
      <c r="AD32" s="23"/>
      <c r="AE32" s="23"/>
      <c r="AF32" s="23"/>
      <c r="AG32" s="50"/>
      <c r="AH32" s="220"/>
      <c r="AI32" s="221"/>
      <c r="AJ32" s="223"/>
      <c r="AK32" s="224"/>
      <c r="AL32" s="220"/>
      <c r="AM32" s="222"/>
      <c r="AN32" s="221"/>
      <c r="AO32" s="205"/>
      <c r="AP32" s="205"/>
      <c r="AQ32" s="205"/>
      <c r="AR32" s="205"/>
      <c r="AS32" s="205"/>
      <c r="AT32" s="205"/>
      <c r="AU32" s="205"/>
      <c r="AV32" s="205"/>
      <c r="AW32" s="205"/>
      <c r="AX32" s="205"/>
      <c r="AY32" s="206"/>
    </row>
    <row r="33" spans="1:51">
      <c r="A33" s="218">
        <f t="shared" si="0"/>
        <v>22</v>
      </c>
      <c r="B33" s="219"/>
      <c r="C33" s="48"/>
      <c r="D33" s="42"/>
      <c r="E33" s="42"/>
      <c r="F33" s="42"/>
      <c r="G33" s="42"/>
      <c r="H33" s="42"/>
      <c r="I33" s="42"/>
      <c r="J33" s="42"/>
      <c r="K33" s="44"/>
      <c r="L33" s="48"/>
      <c r="M33" s="42"/>
      <c r="N33" s="42"/>
      <c r="O33" s="42"/>
      <c r="P33" s="42"/>
      <c r="Q33" s="42"/>
      <c r="R33" s="42"/>
      <c r="S33" s="44"/>
      <c r="T33" s="207"/>
      <c r="U33" s="208"/>
      <c r="V33" s="209"/>
      <c r="W33" s="202"/>
      <c r="X33" s="204"/>
      <c r="Y33" s="220"/>
      <c r="Z33" s="221"/>
      <c r="AA33" s="220"/>
      <c r="AB33" s="221"/>
      <c r="AC33" s="45"/>
      <c r="AD33" s="23"/>
      <c r="AE33" s="23"/>
      <c r="AF33" s="23"/>
      <c r="AG33" s="50"/>
      <c r="AH33" s="220"/>
      <c r="AI33" s="221"/>
      <c r="AJ33" s="223"/>
      <c r="AK33" s="224"/>
      <c r="AL33" s="220"/>
      <c r="AM33" s="222"/>
      <c r="AN33" s="221"/>
      <c r="AO33" s="205"/>
      <c r="AP33" s="205"/>
      <c r="AQ33" s="205"/>
      <c r="AR33" s="205"/>
      <c r="AS33" s="205"/>
      <c r="AT33" s="205"/>
      <c r="AU33" s="205"/>
      <c r="AV33" s="205"/>
      <c r="AW33" s="205"/>
      <c r="AX33" s="205"/>
      <c r="AY33" s="206"/>
    </row>
    <row r="34" spans="1:51">
      <c r="A34" s="218">
        <f t="shared" si="0"/>
        <v>23</v>
      </c>
      <c r="B34" s="219"/>
      <c r="C34" s="48"/>
      <c r="D34" s="42"/>
      <c r="E34" s="42"/>
      <c r="F34" s="42"/>
      <c r="G34" s="42"/>
      <c r="H34" s="42"/>
      <c r="I34" s="42"/>
      <c r="J34" s="42"/>
      <c r="K34" s="44"/>
      <c r="L34" s="48"/>
      <c r="M34" s="42"/>
      <c r="N34" s="42"/>
      <c r="O34" s="42"/>
      <c r="P34" s="42"/>
      <c r="Q34" s="42"/>
      <c r="R34" s="42"/>
      <c r="S34" s="44"/>
      <c r="T34" s="207"/>
      <c r="U34" s="208"/>
      <c r="V34" s="209"/>
      <c r="W34" s="202"/>
      <c r="X34" s="204"/>
      <c r="Y34" s="202"/>
      <c r="Z34" s="204"/>
      <c r="AA34" s="220"/>
      <c r="AB34" s="221"/>
      <c r="AC34" s="45"/>
      <c r="AD34" s="23"/>
      <c r="AE34" s="23"/>
      <c r="AF34" s="23"/>
      <c r="AG34" s="50"/>
      <c r="AH34" s="220"/>
      <c r="AI34" s="221"/>
      <c r="AJ34" s="223"/>
      <c r="AK34" s="224"/>
      <c r="AL34" s="220"/>
      <c r="AM34" s="222"/>
      <c r="AN34" s="221"/>
      <c r="AO34" s="205"/>
      <c r="AP34" s="205"/>
      <c r="AQ34" s="205"/>
      <c r="AR34" s="205"/>
      <c r="AS34" s="205"/>
      <c r="AT34" s="205"/>
      <c r="AU34" s="205"/>
      <c r="AV34" s="205"/>
      <c r="AW34" s="205"/>
      <c r="AX34" s="205"/>
      <c r="AY34" s="206"/>
    </row>
    <row r="35" spans="1:51">
      <c r="A35" s="218">
        <f t="shared" si="0"/>
        <v>24</v>
      </c>
      <c r="B35" s="219"/>
      <c r="C35" s="48"/>
      <c r="D35" s="42"/>
      <c r="E35" s="42"/>
      <c r="F35" s="42"/>
      <c r="G35" s="42"/>
      <c r="H35" s="42"/>
      <c r="I35" s="42"/>
      <c r="J35" s="42"/>
      <c r="K35" s="44"/>
      <c r="L35" s="48"/>
      <c r="M35" s="42"/>
      <c r="N35" s="42"/>
      <c r="O35" s="42"/>
      <c r="P35" s="42"/>
      <c r="Q35" s="42"/>
      <c r="R35" s="42"/>
      <c r="S35" s="44"/>
      <c r="T35" s="207"/>
      <c r="U35" s="208"/>
      <c r="V35" s="209"/>
      <c r="W35" s="202"/>
      <c r="X35" s="204"/>
      <c r="Y35" s="202"/>
      <c r="Z35" s="204"/>
      <c r="AA35" s="220"/>
      <c r="AB35" s="221"/>
      <c r="AC35" s="45"/>
      <c r="AD35" s="23"/>
      <c r="AE35" s="23"/>
      <c r="AF35" s="23"/>
      <c r="AG35" s="50"/>
      <c r="AH35" s="220"/>
      <c r="AI35" s="221"/>
      <c r="AJ35" s="223"/>
      <c r="AK35" s="224"/>
      <c r="AL35" s="220"/>
      <c r="AM35" s="222"/>
      <c r="AN35" s="221"/>
      <c r="AO35" s="205"/>
      <c r="AP35" s="205"/>
      <c r="AQ35" s="205"/>
      <c r="AR35" s="205"/>
      <c r="AS35" s="205"/>
      <c r="AT35" s="205"/>
      <c r="AU35" s="205"/>
      <c r="AV35" s="205"/>
      <c r="AW35" s="205"/>
      <c r="AX35" s="205"/>
      <c r="AY35" s="206"/>
    </row>
    <row r="36" spans="1:51">
      <c r="A36" s="218">
        <f t="shared" si="0"/>
        <v>25</v>
      </c>
      <c r="B36" s="219"/>
      <c r="C36" s="48"/>
      <c r="D36" s="42"/>
      <c r="E36" s="42"/>
      <c r="F36" s="42"/>
      <c r="G36" s="42"/>
      <c r="H36" s="42"/>
      <c r="I36" s="42"/>
      <c r="J36" s="42"/>
      <c r="K36" s="44"/>
      <c r="L36" s="48"/>
      <c r="M36" s="42"/>
      <c r="N36" s="42"/>
      <c r="O36" s="42"/>
      <c r="P36" s="42"/>
      <c r="Q36" s="42"/>
      <c r="R36" s="42"/>
      <c r="S36" s="44"/>
      <c r="T36" s="207"/>
      <c r="U36" s="208"/>
      <c r="V36" s="209"/>
      <c r="W36" s="202"/>
      <c r="X36" s="204"/>
      <c r="Y36" s="220"/>
      <c r="Z36" s="221"/>
      <c r="AA36" s="215"/>
      <c r="AB36" s="216"/>
      <c r="AC36" s="46"/>
      <c r="AD36" s="24"/>
      <c r="AE36" s="24"/>
      <c r="AF36" s="24"/>
      <c r="AG36" s="51"/>
      <c r="AH36" s="215"/>
      <c r="AI36" s="216"/>
      <c r="AJ36" s="212"/>
      <c r="AK36" s="213"/>
      <c r="AL36" s="215"/>
      <c r="AM36" s="217"/>
      <c r="AN36" s="216"/>
      <c r="AO36" s="205"/>
      <c r="AP36" s="205"/>
      <c r="AQ36" s="205"/>
      <c r="AR36" s="205"/>
      <c r="AS36" s="205"/>
      <c r="AT36" s="205"/>
      <c r="AU36" s="205"/>
      <c r="AV36" s="205"/>
      <c r="AW36" s="205"/>
      <c r="AX36" s="205"/>
      <c r="AY36" s="206"/>
    </row>
    <row r="37" spans="1:51">
      <c r="A37" s="202">
        <f t="shared" si="0"/>
        <v>26</v>
      </c>
      <c r="B37" s="204"/>
      <c r="C37" s="48"/>
      <c r="D37" s="42"/>
      <c r="E37" s="42"/>
      <c r="F37" s="42"/>
      <c r="G37" s="42"/>
      <c r="H37" s="42"/>
      <c r="I37" s="42"/>
      <c r="J37" s="42"/>
      <c r="K37" s="44"/>
      <c r="L37" s="48"/>
      <c r="M37" s="42"/>
      <c r="N37" s="42"/>
      <c r="O37" s="42"/>
      <c r="P37" s="42"/>
      <c r="Q37" s="42"/>
      <c r="R37" s="42"/>
      <c r="S37" s="44"/>
      <c r="T37" s="207"/>
      <c r="U37" s="208"/>
      <c r="V37" s="209"/>
      <c r="W37" s="202"/>
      <c r="X37" s="204"/>
      <c r="Y37" s="220"/>
      <c r="Z37" s="221"/>
      <c r="AA37" s="215"/>
      <c r="AB37" s="216"/>
      <c r="AC37" s="46"/>
      <c r="AD37" s="24"/>
      <c r="AE37" s="24"/>
      <c r="AF37" s="24"/>
      <c r="AG37" s="51"/>
      <c r="AH37" s="215"/>
      <c r="AI37" s="216"/>
      <c r="AJ37" s="212"/>
      <c r="AK37" s="213"/>
      <c r="AL37" s="215"/>
      <c r="AM37" s="217"/>
      <c r="AN37" s="216"/>
      <c r="AO37" s="205"/>
      <c r="AP37" s="205"/>
      <c r="AQ37" s="205"/>
      <c r="AR37" s="205"/>
      <c r="AS37" s="205"/>
      <c r="AT37" s="205"/>
      <c r="AU37" s="205"/>
      <c r="AV37" s="205"/>
      <c r="AW37" s="205"/>
      <c r="AX37" s="205"/>
      <c r="AY37" s="206"/>
    </row>
    <row r="38" spans="1:51">
      <c r="A38" s="218">
        <f t="shared" si="0"/>
        <v>27</v>
      </c>
      <c r="B38" s="219"/>
      <c r="C38" s="48"/>
      <c r="D38" s="42"/>
      <c r="E38" s="42"/>
      <c r="F38" s="42"/>
      <c r="G38" s="42"/>
      <c r="H38" s="42"/>
      <c r="I38" s="42"/>
      <c r="J38" s="42"/>
      <c r="K38" s="44"/>
      <c r="L38" s="48"/>
      <c r="M38" s="42"/>
      <c r="N38" s="42"/>
      <c r="O38" s="42"/>
      <c r="P38" s="42"/>
      <c r="Q38" s="42"/>
      <c r="R38" s="42"/>
      <c r="S38" s="44"/>
      <c r="T38" s="207"/>
      <c r="U38" s="208"/>
      <c r="V38" s="209"/>
      <c r="W38" s="202"/>
      <c r="X38" s="204"/>
      <c r="Y38" s="202"/>
      <c r="Z38" s="204"/>
      <c r="AA38" s="215"/>
      <c r="AB38" s="216"/>
      <c r="AC38" s="46"/>
      <c r="AD38" s="24"/>
      <c r="AE38" s="24"/>
      <c r="AF38" s="24"/>
      <c r="AG38" s="51"/>
      <c r="AH38" s="215"/>
      <c r="AI38" s="216"/>
      <c r="AJ38" s="212"/>
      <c r="AK38" s="213"/>
      <c r="AL38" s="215"/>
      <c r="AM38" s="217"/>
      <c r="AN38" s="216"/>
      <c r="AO38" s="205"/>
      <c r="AP38" s="205"/>
      <c r="AQ38" s="205"/>
      <c r="AR38" s="205"/>
      <c r="AS38" s="205"/>
      <c r="AT38" s="205"/>
      <c r="AU38" s="205"/>
      <c r="AV38" s="205"/>
      <c r="AW38" s="205"/>
      <c r="AX38" s="205"/>
      <c r="AY38" s="206"/>
    </row>
    <row r="39" spans="1:51">
      <c r="A39" s="202">
        <f t="shared" si="0"/>
        <v>28</v>
      </c>
      <c r="B39" s="204"/>
      <c r="C39" s="48"/>
      <c r="D39" s="42"/>
      <c r="E39" s="42"/>
      <c r="F39" s="42"/>
      <c r="G39" s="42"/>
      <c r="H39" s="42"/>
      <c r="I39" s="42"/>
      <c r="J39" s="42"/>
      <c r="K39" s="44"/>
      <c r="L39" s="48"/>
      <c r="M39" s="42"/>
      <c r="N39" s="42"/>
      <c r="O39" s="42"/>
      <c r="P39" s="42"/>
      <c r="Q39" s="42"/>
      <c r="R39" s="42"/>
      <c r="S39" s="44"/>
      <c r="T39" s="207"/>
      <c r="U39" s="208"/>
      <c r="V39" s="209"/>
      <c r="W39" s="220"/>
      <c r="X39" s="221"/>
      <c r="Y39" s="220"/>
      <c r="Z39" s="221"/>
      <c r="AA39" s="215"/>
      <c r="AB39" s="216"/>
      <c r="AC39" s="46"/>
      <c r="AD39" s="24"/>
      <c r="AE39" s="24"/>
      <c r="AF39" s="24"/>
      <c r="AG39" s="51"/>
      <c r="AH39" s="215"/>
      <c r="AI39" s="216"/>
      <c r="AJ39" s="212"/>
      <c r="AK39" s="213"/>
      <c r="AL39" s="215"/>
      <c r="AM39" s="217"/>
      <c r="AN39" s="216"/>
      <c r="AO39" s="205"/>
      <c r="AP39" s="205"/>
      <c r="AQ39" s="205"/>
      <c r="AR39" s="205"/>
      <c r="AS39" s="205"/>
      <c r="AT39" s="205"/>
      <c r="AU39" s="205"/>
      <c r="AV39" s="205"/>
      <c r="AW39" s="205"/>
      <c r="AX39" s="205"/>
      <c r="AY39" s="206"/>
    </row>
    <row r="40" spans="1:51">
      <c r="A40" s="202">
        <f t="shared" si="0"/>
        <v>29</v>
      </c>
      <c r="B40" s="204"/>
      <c r="C40" s="48"/>
      <c r="D40" s="42"/>
      <c r="E40" s="42"/>
      <c r="F40" s="42"/>
      <c r="G40" s="42"/>
      <c r="H40" s="42"/>
      <c r="I40" s="42"/>
      <c r="J40" s="42"/>
      <c r="K40" s="44"/>
      <c r="L40" s="48"/>
      <c r="M40" s="42"/>
      <c r="N40" s="42"/>
      <c r="O40" s="42"/>
      <c r="P40" s="42"/>
      <c r="Q40" s="42"/>
      <c r="R40" s="42"/>
      <c r="S40" s="44"/>
      <c r="T40" s="207"/>
      <c r="U40" s="208"/>
      <c r="V40" s="209"/>
      <c r="W40" s="220"/>
      <c r="X40" s="221"/>
      <c r="Y40" s="220"/>
      <c r="Z40" s="221"/>
      <c r="AA40" s="215"/>
      <c r="AB40" s="216"/>
      <c r="AC40" s="46"/>
      <c r="AD40" s="24"/>
      <c r="AE40" s="24"/>
      <c r="AF40" s="24"/>
      <c r="AG40" s="51"/>
      <c r="AH40" s="215"/>
      <c r="AI40" s="216"/>
      <c r="AJ40" s="212"/>
      <c r="AK40" s="213"/>
      <c r="AL40" s="215"/>
      <c r="AM40" s="217"/>
      <c r="AN40" s="216"/>
      <c r="AO40" s="205"/>
      <c r="AP40" s="205"/>
      <c r="AQ40" s="205"/>
      <c r="AR40" s="205"/>
      <c r="AS40" s="205"/>
      <c r="AT40" s="205"/>
      <c r="AU40" s="205"/>
      <c r="AV40" s="205"/>
      <c r="AW40" s="205"/>
      <c r="AX40" s="205"/>
      <c r="AY40" s="206"/>
    </row>
    <row r="41" spans="1:51">
      <c r="A41" s="218">
        <f t="shared" si="0"/>
        <v>30</v>
      </c>
      <c r="B41" s="219"/>
      <c r="C41" s="48"/>
      <c r="D41" s="42"/>
      <c r="E41" s="42"/>
      <c r="F41" s="42"/>
      <c r="G41" s="42"/>
      <c r="H41" s="42"/>
      <c r="I41" s="42"/>
      <c r="J41" s="42"/>
      <c r="K41" s="44"/>
      <c r="L41" s="48"/>
      <c r="M41" s="42"/>
      <c r="N41" s="42"/>
      <c r="O41" s="42"/>
      <c r="P41" s="42"/>
      <c r="Q41" s="42"/>
      <c r="R41" s="42"/>
      <c r="S41" s="44"/>
      <c r="T41" s="207"/>
      <c r="U41" s="208"/>
      <c r="V41" s="209"/>
      <c r="W41" s="220"/>
      <c r="X41" s="221"/>
      <c r="Y41" s="220"/>
      <c r="Z41" s="221"/>
      <c r="AA41" s="215"/>
      <c r="AB41" s="216"/>
      <c r="AC41" s="46"/>
      <c r="AD41" s="24"/>
      <c r="AE41" s="24"/>
      <c r="AF41" s="24"/>
      <c r="AG41" s="51"/>
      <c r="AH41" s="215"/>
      <c r="AI41" s="216"/>
      <c r="AJ41" s="212"/>
      <c r="AK41" s="213"/>
      <c r="AL41" s="215"/>
      <c r="AM41" s="217"/>
      <c r="AN41" s="216"/>
      <c r="AO41" s="205"/>
      <c r="AP41" s="205"/>
      <c r="AQ41" s="205"/>
      <c r="AR41" s="205"/>
      <c r="AS41" s="205"/>
      <c r="AT41" s="205"/>
      <c r="AU41" s="205"/>
      <c r="AV41" s="205"/>
      <c r="AW41" s="205"/>
      <c r="AX41" s="205"/>
      <c r="AY41" s="206"/>
    </row>
    <row r="42" spans="1:51">
      <c r="A42" s="202">
        <f t="shared" si="0"/>
        <v>31</v>
      </c>
      <c r="B42" s="204"/>
      <c r="C42" s="48"/>
      <c r="D42" s="42"/>
      <c r="E42" s="42"/>
      <c r="F42" s="42"/>
      <c r="G42" s="42"/>
      <c r="H42" s="42"/>
      <c r="I42" s="42"/>
      <c r="J42" s="42"/>
      <c r="K42" s="44"/>
      <c r="L42" s="48"/>
      <c r="M42" s="42"/>
      <c r="N42" s="42"/>
      <c r="O42" s="42"/>
      <c r="P42" s="42"/>
      <c r="Q42" s="42"/>
      <c r="R42" s="42"/>
      <c r="S42" s="44"/>
      <c r="T42" s="207"/>
      <c r="U42" s="208"/>
      <c r="V42" s="209"/>
      <c r="W42" s="220"/>
      <c r="X42" s="221"/>
      <c r="Y42" s="220"/>
      <c r="Z42" s="221"/>
      <c r="AA42" s="215"/>
      <c r="AB42" s="216"/>
      <c r="AC42" s="46"/>
      <c r="AD42" s="24"/>
      <c r="AE42" s="24"/>
      <c r="AF42" s="24"/>
      <c r="AG42" s="51"/>
      <c r="AH42" s="215"/>
      <c r="AI42" s="216"/>
      <c r="AJ42" s="212"/>
      <c r="AK42" s="213"/>
      <c r="AL42" s="215"/>
      <c r="AM42" s="217"/>
      <c r="AN42" s="216"/>
      <c r="AO42" s="205"/>
      <c r="AP42" s="205"/>
      <c r="AQ42" s="205"/>
      <c r="AR42" s="205"/>
      <c r="AS42" s="205"/>
      <c r="AT42" s="205"/>
      <c r="AU42" s="205"/>
      <c r="AV42" s="205"/>
      <c r="AW42" s="205"/>
      <c r="AX42" s="205"/>
      <c r="AY42" s="206"/>
    </row>
    <row r="43" spans="1:51">
      <c r="A43" s="202">
        <f t="shared" si="0"/>
        <v>32</v>
      </c>
      <c r="B43" s="204"/>
      <c r="C43" s="48"/>
      <c r="D43" s="42"/>
      <c r="E43" s="42"/>
      <c r="F43" s="42"/>
      <c r="G43" s="42"/>
      <c r="H43" s="42"/>
      <c r="I43" s="42"/>
      <c r="J43" s="42"/>
      <c r="K43" s="44"/>
      <c r="L43" s="48"/>
      <c r="M43" s="42"/>
      <c r="N43" s="42"/>
      <c r="O43" s="42"/>
      <c r="P43" s="42"/>
      <c r="Q43" s="42"/>
      <c r="R43" s="42"/>
      <c r="S43" s="44"/>
      <c r="T43" s="207"/>
      <c r="U43" s="208"/>
      <c r="V43" s="209"/>
      <c r="W43" s="220"/>
      <c r="X43" s="221"/>
      <c r="Y43" s="220"/>
      <c r="Z43" s="221"/>
      <c r="AA43" s="215"/>
      <c r="AB43" s="216"/>
      <c r="AC43" s="46"/>
      <c r="AD43" s="24"/>
      <c r="AE43" s="24"/>
      <c r="AF43" s="24"/>
      <c r="AG43" s="51"/>
      <c r="AH43" s="215"/>
      <c r="AI43" s="216"/>
      <c r="AJ43" s="212"/>
      <c r="AK43" s="213"/>
      <c r="AL43" s="215"/>
      <c r="AM43" s="217"/>
      <c r="AN43" s="216"/>
      <c r="AO43" s="205"/>
      <c r="AP43" s="205"/>
      <c r="AQ43" s="205"/>
      <c r="AR43" s="205"/>
      <c r="AS43" s="205"/>
      <c r="AT43" s="205"/>
      <c r="AU43" s="205"/>
      <c r="AV43" s="205"/>
      <c r="AW43" s="205"/>
      <c r="AX43" s="205"/>
      <c r="AY43" s="206"/>
    </row>
    <row r="44" spans="1:51">
      <c r="A44" s="202">
        <f t="shared" si="0"/>
        <v>33</v>
      </c>
      <c r="B44" s="204"/>
      <c r="C44" s="48"/>
      <c r="D44" s="42"/>
      <c r="E44" s="42"/>
      <c r="F44" s="42"/>
      <c r="G44" s="42"/>
      <c r="H44" s="42"/>
      <c r="I44" s="42"/>
      <c r="J44" s="42"/>
      <c r="K44" s="44"/>
      <c r="L44" s="48"/>
      <c r="M44" s="42"/>
      <c r="N44" s="42"/>
      <c r="O44" s="42"/>
      <c r="P44" s="42"/>
      <c r="Q44" s="42"/>
      <c r="R44" s="42"/>
      <c r="S44" s="44"/>
      <c r="T44" s="207"/>
      <c r="U44" s="208"/>
      <c r="V44" s="209"/>
      <c r="W44" s="220"/>
      <c r="X44" s="221"/>
      <c r="Y44" s="220"/>
      <c r="Z44" s="221"/>
      <c r="AA44" s="215"/>
      <c r="AB44" s="216"/>
      <c r="AC44" s="46"/>
      <c r="AD44" s="24"/>
      <c r="AE44" s="24"/>
      <c r="AF44" s="24"/>
      <c r="AG44" s="51"/>
      <c r="AH44" s="215"/>
      <c r="AI44" s="216"/>
      <c r="AJ44" s="212"/>
      <c r="AK44" s="213"/>
      <c r="AL44" s="215"/>
      <c r="AM44" s="217"/>
      <c r="AN44" s="216"/>
      <c r="AO44" s="205"/>
      <c r="AP44" s="205"/>
      <c r="AQ44" s="205"/>
      <c r="AR44" s="205"/>
      <c r="AS44" s="205"/>
      <c r="AT44" s="205"/>
      <c r="AU44" s="205"/>
      <c r="AV44" s="205"/>
      <c r="AW44" s="205"/>
      <c r="AX44" s="205"/>
      <c r="AY44" s="206"/>
    </row>
    <row r="45" spans="1:51">
      <c r="A45" s="202">
        <f t="shared" si="0"/>
        <v>34</v>
      </c>
      <c r="B45" s="204"/>
      <c r="C45" s="48"/>
      <c r="D45" s="42"/>
      <c r="E45" s="42"/>
      <c r="F45" s="42"/>
      <c r="G45" s="42"/>
      <c r="H45" s="42"/>
      <c r="I45" s="42"/>
      <c r="J45" s="42"/>
      <c r="K45" s="44"/>
      <c r="L45" s="48"/>
      <c r="M45" s="42"/>
      <c r="N45" s="42"/>
      <c r="O45" s="42"/>
      <c r="P45" s="42"/>
      <c r="Q45" s="42"/>
      <c r="R45" s="42"/>
      <c r="S45" s="44"/>
      <c r="T45" s="207"/>
      <c r="U45" s="208"/>
      <c r="V45" s="209"/>
      <c r="W45" s="220"/>
      <c r="X45" s="221"/>
      <c r="Y45" s="215"/>
      <c r="Z45" s="216"/>
      <c r="AA45" s="215"/>
      <c r="AB45" s="216"/>
      <c r="AC45" s="46"/>
      <c r="AD45" s="24"/>
      <c r="AE45" s="24"/>
      <c r="AF45" s="24"/>
      <c r="AG45" s="51"/>
      <c r="AH45" s="215"/>
      <c r="AI45" s="216"/>
      <c r="AJ45" s="212"/>
      <c r="AK45" s="213"/>
      <c r="AL45" s="215"/>
      <c r="AM45" s="217"/>
      <c r="AN45" s="216"/>
      <c r="AO45" s="205"/>
      <c r="AP45" s="205"/>
      <c r="AQ45" s="205"/>
      <c r="AR45" s="205"/>
      <c r="AS45" s="205"/>
      <c r="AT45" s="205"/>
      <c r="AU45" s="205"/>
      <c r="AV45" s="205"/>
      <c r="AW45" s="205"/>
      <c r="AX45" s="205"/>
      <c r="AY45" s="206"/>
    </row>
    <row r="46" spans="1:51">
      <c r="A46" s="210">
        <f t="shared" si="0"/>
        <v>35</v>
      </c>
      <c r="B46" s="211"/>
      <c r="C46" s="48"/>
      <c r="D46" s="42"/>
      <c r="E46" s="42"/>
      <c r="F46" s="42"/>
      <c r="G46" s="42"/>
      <c r="H46" s="42"/>
      <c r="I46" s="42"/>
      <c r="J46" s="42"/>
      <c r="K46" s="44"/>
      <c r="L46" s="48"/>
      <c r="M46" s="42"/>
      <c r="N46" s="42"/>
      <c r="O46" s="42"/>
      <c r="P46" s="42"/>
      <c r="Q46" s="42"/>
      <c r="R46" s="42"/>
      <c r="S46" s="44"/>
      <c r="T46" s="207"/>
      <c r="U46" s="208"/>
      <c r="V46" s="209"/>
      <c r="W46" s="220"/>
      <c r="X46" s="221"/>
      <c r="Y46" s="225"/>
      <c r="Z46" s="226"/>
      <c r="AA46" s="225"/>
      <c r="AB46" s="226"/>
      <c r="AC46" s="43"/>
      <c r="AD46" s="10"/>
      <c r="AE46" s="10"/>
      <c r="AF46" s="10"/>
      <c r="AG46" s="52"/>
      <c r="AH46" s="225"/>
      <c r="AI46" s="226"/>
      <c r="AJ46" s="227"/>
      <c r="AK46" s="228"/>
      <c r="AL46" s="225"/>
      <c r="AM46" s="229"/>
      <c r="AN46" s="226"/>
      <c r="AO46" s="230"/>
      <c r="AP46" s="230"/>
      <c r="AQ46" s="230"/>
      <c r="AR46" s="230"/>
      <c r="AS46" s="230"/>
      <c r="AT46" s="230"/>
      <c r="AU46" s="230"/>
      <c r="AV46" s="230"/>
      <c r="AW46" s="230"/>
      <c r="AX46" s="230"/>
      <c r="AY46" s="231"/>
    </row>
    <row r="47" spans="1:51">
      <c r="A47" s="210">
        <f t="shared" si="0"/>
        <v>36</v>
      </c>
      <c r="B47" s="211"/>
      <c r="C47" s="48"/>
      <c r="D47" s="42"/>
      <c r="E47" s="42"/>
      <c r="F47" s="42"/>
      <c r="G47" s="42"/>
      <c r="H47" s="42"/>
      <c r="I47" s="42"/>
      <c r="J47" s="42"/>
      <c r="K47" s="44"/>
      <c r="L47" s="48"/>
      <c r="M47" s="42"/>
      <c r="N47" s="42"/>
      <c r="O47" s="42"/>
      <c r="P47" s="42"/>
      <c r="Q47" s="42"/>
      <c r="R47" s="42"/>
      <c r="S47" s="44"/>
      <c r="T47" s="207"/>
      <c r="U47" s="208"/>
      <c r="V47" s="209"/>
      <c r="W47" s="220"/>
      <c r="X47" s="221"/>
      <c r="Y47" s="225"/>
      <c r="Z47" s="226"/>
      <c r="AA47" s="225"/>
      <c r="AB47" s="226"/>
      <c r="AC47" s="43"/>
      <c r="AD47" s="10"/>
      <c r="AE47" s="10"/>
      <c r="AF47" s="10"/>
      <c r="AG47" s="52"/>
      <c r="AH47" s="225"/>
      <c r="AI47" s="226"/>
      <c r="AJ47" s="227"/>
      <c r="AK47" s="228"/>
      <c r="AL47" s="225"/>
      <c r="AM47" s="229"/>
      <c r="AN47" s="226"/>
      <c r="AO47" s="230"/>
      <c r="AP47" s="230"/>
      <c r="AQ47" s="230"/>
      <c r="AR47" s="230"/>
      <c r="AS47" s="230"/>
      <c r="AT47" s="230"/>
      <c r="AU47" s="230"/>
      <c r="AV47" s="230"/>
      <c r="AW47" s="230"/>
      <c r="AX47" s="230"/>
      <c r="AY47" s="231"/>
    </row>
    <row r="48" spans="1:51">
      <c r="A48" s="210">
        <f t="shared" si="0"/>
        <v>37</v>
      </c>
      <c r="B48" s="211"/>
      <c r="C48" s="48"/>
      <c r="D48" s="42"/>
      <c r="E48" s="42"/>
      <c r="F48" s="42"/>
      <c r="G48" s="42"/>
      <c r="H48" s="42"/>
      <c r="I48" s="42"/>
      <c r="J48" s="42"/>
      <c r="K48" s="44"/>
      <c r="L48" s="48"/>
      <c r="M48" s="42"/>
      <c r="N48" s="42"/>
      <c r="O48" s="42"/>
      <c r="P48" s="42"/>
      <c r="Q48" s="42"/>
      <c r="R48" s="42"/>
      <c r="S48" s="44"/>
      <c r="T48" s="207"/>
      <c r="U48" s="208"/>
      <c r="V48" s="209"/>
      <c r="W48" s="220"/>
      <c r="X48" s="221"/>
      <c r="Y48" s="225"/>
      <c r="Z48" s="226"/>
      <c r="AA48" s="225"/>
      <c r="AB48" s="226"/>
      <c r="AC48" s="43"/>
      <c r="AD48" s="10"/>
      <c r="AE48" s="10"/>
      <c r="AF48" s="10"/>
      <c r="AG48" s="52"/>
      <c r="AH48" s="225"/>
      <c r="AI48" s="226"/>
      <c r="AJ48" s="227"/>
      <c r="AK48" s="228"/>
      <c r="AL48" s="225"/>
      <c r="AM48" s="229"/>
      <c r="AN48" s="226"/>
      <c r="AO48" s="230"/>
      <c r="AP48" s="230"/>
      <c r="AQ48" s="230"/>
      <c r="AR48" s="230"/>
      <c r="AS48" s="230"/>
      <c r="AT48" s="230"/>
      <c r="AU48" s="230"/>
      <c r="AV48" s="230"/>
      <c r="AW48" s="230"/>
      <c r="AX48" s="230"/>
      <c r="AY48" s="231"/>
    </row>
    <row r="49" spans="1:51">
      <c r="A49" s="210">
        <f t="shared" si="0"/>
        <v>38</v>
      </c>
      <c r="B49" s="211"/>
      <c r="C49" s="48"/>
      <c r="D49" s="42"/>
      <c r="E49" s="42"/>
      <c r="F49" s="42"/>
      <c r="G49" s="42"/>
      <c r="H49" s="42"/>
      <c r="I49" s="42"/>
      <c r="J49" s="42"/>
      <c r="K49" s="44"/>
      <c r="L49" s="48"/>
      <c r="M49" s="42"/>
      <c r="N49" s="42"/>
      <c r="O49" s="42"/>
      <c r="P49" s="42"/>
      <c r="Q49" s="42"/>
      <c r="R49" s="42"/>
      <c r="S49" s="44"/>
      <c r="T49" s="207"/>
      <c r="U49" s="208"/>
      <c r="V49" s="209"/>
      <c r="W49" s="220"/>
      <c r="X49" s="221"/>
      <c r="Y49" s="225"/>
      <c r="Z49" s="226"/>
      <c r="AA49" s="225"/>
      <c r="AB49" s="226"/>
      <c r="AC49" s="43"/>
      <c r="AD49" s="10"/>
      <c r="AE49" s="10"/>
      <c r="AF49" s="10"/>
      <c r="AG49" s="52"/>
      <c r="AH49" s="225"/>
      <c r="AI49" s="226"/>
      <c r="AJ49" s="227"/>
      <c r="AK49" s="228"/>
      <c r="AL49" s="225"/>
      <c r="AM49" s="229"/>
      <c r="AN49" s="226"/>
      <c r="AO49" s="230"/>
      <c r="AP49" s="230"/>
      <c r="AQ49" s="230"/>
      <c r="AR49" s="230"/>
      <c r="AS49" s="230"/>
      <c r="AT49" s="230"/>
      <c r="AU49" s="230"/>
      <c r="AV49" s="230"/>
      <c r="AW49" s="230"/>
      <c r="AX49" s="230"/>
      <c r="AY49" s="231"/>
    </row>
    <row r="50" spans="1:51">
      <c r="A50" s="210">
        <f t="shared" si="0"/>
        <v>39</v>
      </c>
      <c r="B50" s="211"/>
      <c r="C50" s="48"/>
      <c r="D50" s="42"/>
      <c r="E50" s="42"/>
      <c r="F50" s="42"/>
      <c r="G50" s="42"/>
      <c r="H50" s="42"/>
      <c r="I50" s="42"/>
      <c r="J50" s="42"/>
      <c r="K50" s="44"/>
      <c r="L50" s="48"/>
      <c r="M50" s="42"/>
      <c r="N50" s="42"/>
      <c r="O50" s="42"/>
      <c r="P50" s="42"/>
      <c r="Q50" s="42"/>
      <c r="R50" s="42"/>
      <c r="S50" s="44"/>
      <c r="T50" s="207"/>
      <c r="U50" s="208"/>
      <c r="V50" s="209"/>
      <c r="W50" s="220"/>
      <c r="X50" s="221"/>
      <c r="Y50" s="225"/>
      <c r="Z50" s="226"/>
      <c r="AA50" s="225"/>
      <c r="AB50" s="226"/>
      <c r="AC50" s="43"/>
      <c r="AD50" s="10"/>
      <c r="AE50" s="10"/>
      <c r="AF50" s="10"/>
      <c r="AG50" s="52"/>
      <c r="AH50" s="225"/>
      <c r="AI50" s="226"/>
      <c r="AJ50" s="227"/>
      <c r="AK50" s="228"/>
      <c r="AL50" s="225"/>
      <c r="AM50" s="229"/>
      <c r="AN50" s="226"/>
      <c r="AO50" s="230"/>
      <c r="AP50" s="230"/>
      <c r="AQ50" s="230"/>
      <c r="AR50" s="230"/>
      <c r="AS50" s="230"/>
      <c r="AT50" s="230"/>
      <c r="AU50" s="230"/>
      <c r="AV50" s="230"/>
      <c r="AW50" s="230"/>
      <c r="AX50" s="230"/>
      <c r="AY50" s="231"/>
    </row>
    <row r="51" spans="1:51">
      <c r="A51" s="210">
        <f t="shared" si="0"/>
        <v>40</v>
      </c>
      <c r="B51" s="211"/>
      <c r="C51" s="48"/>
      <c r="D51" s="42"/>
      <c r="E51" s="42"/>
      <c r="F51" s="42"/>
      <c r="G51" s="42"/>
      <c r="H51" s="42"/>
      <c r="I51" s="42"/>
      <c r="J51" s="42"/>
      <c r="K51" s="44"/>
      <c r="L51" s="48"/>
      <c r="M51" s="42"/>
      <c r="N51" s="42"/>
      <c r="O51" s="42"/>
      <c r="P51" s="42"/>
      <c r="Q51" s="42"/>
      <c r="R51" s="42"/>
      <c r="S51" s="44"/>
      <c r="T51" s="207"/>
      <c r="U51" s="208"/>
      <c r="V51" s="209"/>
      <c r="W51" s="220"/>
      <c r="X51" s="221"/>
      <c r="Y51" s="225"/>
      <c r="Z51" s="226"/>
      <c r="AA51" s="225"/>
      <c r="AB51" s="226"/>
      <c r="AC51" s="43"/>
      <c r="AD51" s="10"/>
      <c r="AE51" s="10"/>
      <c r="AF51" s="10"/>
      <c r="AG51" s="52"/>
      <c r="AH51" s="225"/>
      <c r="AI51" s="226"/>
      <c r="AJ51" s="227"/>
      <c r="AK51" s="228"/>
      <c r="AL51" s="225"/>
      <c r="AM51" s="229"/>
      <c r="AN51" s="226"/>
      <c r="AO51" s="230"/>
      <c r="AP51" s="230"/>
      <c r="AQ51" s="230"/>
      <c r="AR51" s="230"/>
      <c r="AS51" s="230"/>
      <c r="AT51" s="230"/>
      <c r="AU51" s="230"/>
      <c r="AV51" s="230"/>
      <c r="AW51" s="230"/>
      <c r="AX51" s="230"/>
      <c r="AY51" s="231"/>
    </row>
    <row r="52" spans="1:51">
      <c r="A52" s="210">
        <f t="shared" si="0"/>
        <v>41</v>
      </c>
      <c r="B52" s="211"/>
      <c r="C52" s="48"/>
      <c r="D52" s="42"/>
      <c r="E52" s="42"/>
      <c r="F52" s="42"/>
      <c r="G52" s="42"/>
      <c r="H52" s="42"/>
      <c r="I52" s="42"/>
      <c r="J52" s="42"/>
      <c r="K52" s="44"/>
      <c r="L52" s="48"/>
      <c r="M52" s="42"/>
      <c r="N52" s="42"/>
      <c r="O52" s="42"/>
      <c r="P52" s="42"/>
      <c r="Q52" s="42"/>
      <c r="R52" s="42"/>
      <c r="S52" s="44"/>
      <c r="T52" s="207"/>
      <c r="U52" s="208"/>
      <c r="V52" s="209"/>
      <c r="W52" s="225"/>
      <c r="X52" s="226"/>
      <c r="Y52" s="225"/>
      <c r="Z52" s="226"/>
      <c r="AA52" s="225"/>
      <c r="AB52" s="226"/>
      <c r="AC52" s="43"/>
      <c r="AD52" s="10"/>
      <c r="AE52" s="10"/>
      <c r="AF52" s="10"/>
      <c r="AG52" s="52"/>
      <c r="AH52" s="225"/>
      <c r="AI52" s="226"/>
      <c r="AJ52" s="227"/>
      <c r="AK52" s="228"/>
      <c r="AL52" s="225"/>
      <c r="AM52" s="229"/>
      <c r="AN52" s="226"/>
      <c r="AO52" s="230"/>
      <c r="AP52" s="230"/>
      <c r="AQ52" s="230"/>
      <c r="AR52" s="230"/>
      <c r="AS52" s="230"/>
      <c r="AT52" s="230"/>
      <c r="AU52" s="230"/>
      <c r="AV52" s="230"/>
      <c r="AW52" s="230"/>
      <c r="AX52" s="230"/>
      <c r="AY52" s="231"/>
    </row>
    <row r="53" spans="1:51">
      <c r="A53" s="210">
        <f t="shared" si="0"/>
        <v>42</v>
      </c>
      <c r="B53" s="211"/>
      <c r="C53" s="48"/>
      <c r="D53" s="42"/>
      <c r="E53" s="42"/>
      <c r="F53" s="42"/>
      <c r="G53" s="42"/>
      <c r="H53" s="42"/>
      <c r="I53" s="42"/>
      <c r="J53" s="42"/>
      <c r="K53" s="44"/>
      <c r="L53" s="48"/>
      <c r="M53" s="42"/>
      <c r="N53" s="42"/>
      <c r="O53" s="42"/>
      <c r="P53" s="42"/>
      <c r="Q53" s="42"/>
      <c r="R53" s="42"/>
      <c r="S53" s="44"/>
      <c r="T53" s="207"/>
      <c r="U53" s="208"/>
      <c r="V53" s="209"/>
      <c r="W53" s="225"/>
      <c r="X53" s="226"/>
      <c r="Y53" s="225"/>
      <c r="Z53" s="226"/>
      <c r="AA53" s="225"/>
      <c r="AB53" s="226"/>
      <c r="AC53" s="43"/>
      <c r="AD53" s="10"/>
      <c r="AE53" s="10"/>
      <c r="AF53" s="10"/>
      <c r="AG53" s="52"/>
      <c r="AH53" s="225"/>
      <c r="AI53" s="226"/>
      <c r="AJ53" s="227"/>
      <c r="AK53" s="228"/>
      <c r="AL53" s="225"/>
      <c r="AM53" s="229"/>
      <c r="AN53" s="226"/>
      <c r="AO53" s="230"/>
      <c r="AP53" s="230"/>
      <c r="AQ53" s="230"/>
      <c r="AR53" s="230"/>
      <c r="AS53" s="230"/>
      <c r="AT53" s="230"/>
      <c r="AU53" s="230"/>
      <c r="AV53" s="230"/>
      <c r="AW53" s="230"/>
      <c r="AX53" s="230"/>
      <c r="AY53" s="231"/>
    </row>
    <row r="54" spans="1:51">
      <c r="A54" s="210">
        <f t="shared" si="0"/>
        <v>43</v>
      </c>
      <c r="B54" s="211"/>
      <c r="C54" s="48"/>
      <c r="D54" s="42"/>
      <c r="E54" s="42"/>
      <c r="F54" s="42"/>
      <c r="G54" s="42"/>
      <c r="H54" s="42"/>
      <c r="I54" s="42"/>
      <c r="J54" s="42"/>
      <c r="K54" s="44"/>
      <c r="L54" s="48"/>
      <c r="M54" s="42"/>
      <c r="N54" s="42"/>
      <c r="O54" s="42"/>
      <c r="P54" s="42"/>
      <c r="Q54" s="42"/>
      <c r="R54" s="42"/>
      <c r="S54" s="44"/>
      <c r="T54" s="207"/>
      <c r="U54" s="208"/>
      <c r="V54" s="209"/>
      <c r="W54" s="225"/>
      <c r="X54" s="226"/>
      <c r="Y54" s="225"/>
      <c r="Z54" s="226"/>
      <c r="AA54" s="225"/>
      <c r="AB54" s="226"/>
      <c r="AC54" s="43"/>
      <c r="AD54" s="10"/>
      <c r="AE54" s="10"/>
      <c r="AF54" s="10"/>
      <c r="AG54" s="52"/>
      <c r="AH54" s="225"/>
      <c r="AI54" s="226"/>
      <c r="AJ54" s="227"/>
      <c r="AK54" s="228"/>
      <c r="AL54" s="225"/>
      <c r="AM54" s="229"/>
      <c r="AN54" s="226"/>
      <c r="AO54" s="230"/>
      <c r="AP54" s="230"/>
      <c r="AQ54" s="230"/>
      <c r="AR54" s="230"/>
      <c r="AS54" s="230"/>
      <c r="AT54" s="230"/>
      <c r="AU54" s="230"/>
      <c r="AV54" s="230"/>
      <c r="AW54" s="230"/>
      <c r="AX54" s="230"/>
      <c r="AY54" s="231"/>
    </row>
  </sheetData>
  <mergeCells count="455">
    <mergeCell ref="AJ54:AK54"/>
    <mergeCell ref="AL54:AN54"/>
    <mergeCell ref="AO54:AY54"/>
    <mergeCell ref="A54:B54"/>
    <mergeCell ref="T54:V54"/>
    <mergeCell ref="W54:X54"/>
    <mergeCell ref="Y54:Z54"/>
    <mergeCell ref="AA54:AB54"/>
    <mergeCell ref="AH54:AI54"/>
    <mergeCell ref="AO52:AY52"/>
    <mergeCell ref="A53:B53"/>
    <mergeCell ref="T53:V53"/>
    <mergeCell ref="W53:X53"/>
    <mergeCell ref="Y53:Z53"/>
    <mergeCell ref="AA53:AB53"/>
    <mergeCell ref="AH53:AI53"/>
    <mergeCell ref="AJ53:AK53"/>
    <mergeCell ref="AL53:AN53"/>
    <mergeCell ref="AO53:AY53"/>
    <mergeCell ref="AL51:AN51"/>
    <mergeCell ref="AO51:AY51"/>
    <mergeCell ref="A52:B52"/>
    <mergeCell ref="T52:V52"/>
    <mergeCell ref="W52:X52"/>
    <mergeCell ref="Y52:Z52"/>
    <mergeCell ref="AA52:AB52"/>
    <mergeCell ref="AH52:AI52"/>
    <mergeCell ref="AJ52:AK52"/>
    <mergeCell ref="AL52:AN52"/>
    <mergeCell ref="AJ50:AK50"/>
    <mergeCell ref="AL50:AN50"/>
    <mergeCell ref="AO50:AY50"/>
    <mergeCell ref="A51:B51"/>
    <mergeCell ref="T51:V51"/>
    <mergeCell ref="W51:X51"/>
    <mergeCell ref="Y51:Z51"/>
    <mergeCell ref="AA51:AB51"/>
    <mergeCell ref="AH51:AI51"/>
    <mergeCell ref="AJ51:AK51"/>
    <mergeCell ref="A50:B50"/>
    <mergeCell ref="T50:V50"/>
    <mergeCell ref="W50:X50"/>
    <mergeCell ref="Y50:Z50"/>
    <mergeCell ref="AA50:AB50"/>
    <mergeCell ref="AH50:AI50"/>
    <mergeCell ref="AO48:AY48"/>
    <mergeCell ref="A49:B49"/>
    <mergeCell ref="T49:V49"/>
    <mergeCell ref="W49:X49"/>
    <mergeCell ref="Y49:Z49"/>
    <mergeCell ref="AA49:AB49"/>
    <mergeCell ref="AH49:AI49"/>
    <mergeCell ref="AJ49:AK49"/>
    <mergeCell ref="AL49:AN49"/>
    <mergeCell ref="AO49:AY49"/>
    <mergeCell ref="AL47:AN47"/>
    <mergeCell ref="AO47:AY47"/>
    <mergeCell ref="A48:B48"/>
    <mergeCell ref="T48:V48"/>
    <mergeCell ref="W48:X48"/>
    <mergeCell ref="Y48:Z48"/>
    <mergeCell ref="AA48:AB48"/>
    <mergeCell ref="AH48:AI48"/>
    <mergeCell ref="AJ48:AK48"/>
    <mergeCell ref="AL48:AN48"/>
    <mergeCell ref="AJ46:AK46"/>
    <mergeCell ref="AL46:AN46"/>
    <mergeCell ref="AO46:AY46"/>
    <mergeCell ref="A47:B47"/>
    <mergeCell ref="T47:V47"/>
    <mergeCell ref="W47:X47"/>
    <mergeCell ref="Y47:Z47"/>
    <mergeCell ref="AA47:AB47"/>
    <mergeCell ref="AH47:AI47"/>
    <mergeCell ref="AJ47:AK47"/>
    <mergeCell ref="A46:B46"/>
    <mergeCell ref="T46:V46"/>
    <mergeCell ref="W46:X46"/>
    <mergeCell ref="Y46:Z46"/>
    <mergeCell ref="AA46:AB46"/>
    <mergeCell ref="AH46:AI46"/>
    <mergeCell ref="AO44:AY44"/>
    <mergeCell ref="A45:B45"/>
    <mergeCell ref="T45:V45"/>
    <mergeCell ref="W45:X45"/>
    <mergeCell ref="Y45:Z45"/>
    <mergeCell ref="AA45:AB45"/>
    <mergeCell ref="AH45:AI45"/>
    <mergeCell ref="AJ45:AK45"/>
    <mergeCell ref="AL45:AN45"/>
    <mergeCell ref="AO45:AY45"/>
    <mergeCell ref="AL43:AN43"/>
    <mergeCell ref="AO43:AY43"/>
    <mergeCell ref="A44:B44"/>
    <mergeCell ref="T44:V44"/>
    <mergeCell ref="W44:X44"/>
    <mergeCell ref="Y44:Z44"/>
    <mergeCell ref="AA44:AB44"/>
    <mergeCell ref="AH44:AI44"/>
    <mergeCell ref="AJ44:AK44"/>
    <mergeCell ref="AL44:AN44"/>
    <mergeCell ref="AJ42:AK42"/>
    <mergeCell ref="AL42:AN42"/>
    <mergeCell ref="AO42:AY42"/>
    <mergeCell ref="A43:B43"/>
    <mergeCell ref="T43:V43"/>
    <mergeCell ref="W43:X43"/>
    <mergeCell ref="Y43:Z43"/>
    <mergeCell ref="AA43:AB43"/>
    <mergeCell ref="AH43:AI43"/>
    <mergeCell ref="AJ43:AK43"/>
    <mergeCell ref="A42:B42"/>
    <mergeCell ref="T42:V42"/>
    <mergeCell ref="W42:X42"/>
    <mergeCell ref="Y42:Z42"/>
    <mergeCell ref="AA42:AB42"/>
    <mergeCell ref="AH42:AI42"/>
    <mergeCell ref="AO40:AY40"/>
    <mergeCell ref="A41:B41"/>
    <mergeCell ref="T41:V41"/>
    <mergeCell ref="W41:X41"/>
    <mergeCell ref="Y41:Z41"/>
    <mergeCell ref="AA41:AB41"/>
    <mergeCell ref="AH41:AI41"/>
    <mergeCell ref="AJ41:AK41"/>
    <mergeCell ref="AL41:AN41"/>
    <mergeCell ref="AO41:AY41"/>
    <mergeCell ref="AL39:AN39"/>
    <mergeCell ref="AO39:AY39"/>
    <mergeCell ref="A40:B40"/>
    <mergeCell ref="T40:V40"/>
    <mergeCell ref="W40:X40"/>
    <mergeCell ref="Y40:Z40"/>
    <mergeCell ref="AA40:AB40"/>
    <mergeCell ref="AH40:AI40"/>
    <mergeCell ref="AJ40:AK40"/>
    <mergeCell ref="AL40:AN40"/>
    <mergeCell ref="AJ38:AK38"/>
    <mergeCell ref="AL38:AN38"/>
    <mergeCell ref="AO38:AY38"/>
    <mergeCell ref="A39:B39"/>
    <mergeCell ref="T39:V39"/>
    <mergeCell ref="W39:X39"/>
    <mergeCell ref="Y39:Z39"/>
    <mergeCell ref="AA39:AB39"/>
    <mergeCell ref="AH39:AI39"/>
    <mergeCell ref="AJ39:AK39"/>
    <mergeCell ref="A38:B38"/>
    <mergeCell ref="T38:V38"/>
    <mergeCell ref="W38:X38"/>
    <mergeCell ref="Y38:Z38"/>
    <mergeCell ref="AA38:AB38"/>
    <mergeCell ref="AH38:AI38"/>
    <mergeCell ref="AO36:AY36"/>
    <mergeCell ref="A37:B37"/>
    <mergeCell ref="T37:V37"/>
    <mergeCell ref="W37:X37"/>
    <mergeCell ref="Y37:Z37"/>
    <mergeCell ref="AA37:AB37"/>
    <mergeCell ref="AH37:AI37"/>
    <mergeCell ref="AJ37:AK37"/>
    <mergeCell ref="AL37:AN37"/>
    <mergeCell ref="AO37:AY37"/>
    <mergeCell ref="AL35:AN35"/>
    <mergeCell ref="AO35:AY35"/>
    <mergeCell ref="A36:B36"/>
    <mergeCell ref="T36:V36"/>
    <mergeCell ref="W36:X36"/>
    <mergeCell ref="Y36:Z36"/>
    <mergeCell ref="AA36:AB36"/>
    <mergeCell ref="AH36:AI36"/>
    <mergeCell ref="AJ36:AK36"/>
    <mergeCell ref="AL36:AN36"/>
    <mergeCell ref="AJ34:AK34"/>
    <mergeCell ref="AL34:AN34"/>
    <mergeCell ref="AO34:AY34"/>
    <mergeCell ref="A35:B35"/>
    <mergeCell ref="T35:V35"/>
    <mergeCell ref="W35:X35"/>
    <mergeCell ref="Y35:Z35"/>
    <mergeCell ref="AA35:AB35"/>
    <mergeCell ref="AH35:AI35"/>
    <mergeCell ref="AJ35:AK35"/>
    <mergeCell ref="A34:B34"/>
    <mergeCell ref="T34:V34"/>
    <mergeCell ref="W34:X34"/>
    <mergeCell ref="Y34:Z34"/>
    <mergeCell ref="AA34:AB34"/>
    <mergeCell ref="AH34:AI34"/>
    <mergeCell ref="AO32:AY32"/>
    <mergeCell ref="A33:B33"/>
    <mergeCell ref="T33:V33"/>
    <mergeCell ref="W33:X33"/>
    <mergeCell ref="Y33:Z33"/>
    <mergeCell ref="AA33:AB33"/>
    <mergeCell ref="AH33:AI33"/>
    <mergeCell ref="AJ33:AK33"/>
    <mergeCell ref="AL33:AN33"/>
    <mergeCell ref="AO33:AY33"/>
    <mergeCell ref="AL31:AN31"/>
    <mergeCell ref="AO31:AY31"/>
    <mergeCell ref="A32:B32"/>
    <mergeCell ref="T32:V32"/>
    <mergeCell ref="W32:X32"/>
    <mergeCell ref="Y32:Z32"/>
    <mergeCell ref="AA32:AB32"/>
    <mergeCell ref="AH32:AI32"/>
    <mergeCell ref="AJ32:AK32"/>
    <mergeCell ref="AL32:AN32"/>
    <mergeCell ref="AJ30:AK30"/>
    <mergeCell ref="AL30:AN30"/>
    <mergeCell ref="AO30:AY30"/>
    <mergeCell ref="A31:B31"/>
    <mergeCell ref="T31:V31"/>
    <mergeCell ref="W31:X31"/>
    <mergeCell ref="Y31:Z31"/>
    <mergeCell ref="AA31:AB31"/>
    <mergeCell ref="AH31:AI31"/>
    <mergeCell ref="AJ31:AK31"/>
    <mergeCell ref="A30:B30"/>
    <mergeCell ref="T30:V30"/>
    <mergeCell ref="W30:X30"/>
    <mergeCell ref="Y30:Z30"/>
    <mergeCell ref="AA30:AB30"/>
    <mergeCell ref="AH30:AI30"/>
    <mergeCell ref="AO28:AY28"/>
    <mergeCell ref="A29:B29"/>
    <mergeCell ref="T29:V29"/>
    <mergeCell ref="W29:X29"/>
    <mergeCell ref="Y29:Z29"/>
    <mergeCell ref="AA29:AB29"/>
    <mergeCell ref="AH29:AI29"/>
    <mergeCell ref="AJ29:AK29"/>
    <mergeCell ref="AL29:AN29"/>
    <mergeCell ref="AO29:AY29"/>
    <mergeCell ref="AL27:AN27"/>
    <mergeCell ref="AO27:AY27"/>
    <mergeCell ref="A28:B28"/>
    <mergeCell ref="T28:V28"/>
    <mergeCell ref="W28:X28"/>
    <mergeCell ref="Y28:Z28"/>
    <mergeCell ref="AA28:AB28"/>
    <mergeCell ref="AH28:AI28"/>
    <mergeCell ref="AJ28:AK28"/>
    <mergeCell ref="AL28:AN28"/>
    <mergeCell ref="AJ26:AK26"/>
    <mergeCell ref="AL26:AN26"/>
    <mergeCell ref="AO26:AY26"/>
    <mergeCell ref="A27:B27"/>
    <mergeCell ref="T27:V27"/>
    <mergeCell ref="W27:X27"/>
    <mergeCell ref="Y27:Z27"/>
    <mergeCell ref="AA27:AB27"/>
    <mergeCell ref="AH27:AI27"/>
    <mergeCell ref="AJ27:AK27"/>
    <mergeCell ref="A26:B26"/>
    <mergeCell ref="T26:V26"/>
    <mergeCell ref="W26:X26"/>
    <mergeCell ref="Y26:Z26"/>
    <mergeCell ref="AA26:AB26"/>
    <mergeCell ref="AH26:AI26"/>
    <mergeCell ref="AO24:AY24"/>
    <mergeCell ref="A25:B25"/>
    <mergeCell ref="T25:V25"/>
    <mergeCell ref="W25:X25"/>
    <mergeCell ref="Y25:Z25"/>
    <mergeCell ref="AA25:AB25"/>
    <mergeCell ref="AH25:AI25"/>
    <mergeCell ref="AJ25:AK25"/>
    <mergeCell ref="AL25:AN25"/>
    <mergeCell ref="AO25:AY25"/>
    <mergeCell ref="AL23:AN23"/>
    <mergeCell ref="AO23:AY23"/>
    <mergeCell ref="A24:B24"/>
    <mergeCell ref="T24:V24"/>
    <mergeCell ref="W24:X24"/>
    <mergeCell ref="Y24:Z24"/>
    <mergeCell ref="AA24:AB24"/>
    <mergeCell ref="AH24:AI24"/>
    <mergeCell ref="AJ24:AK24"/>
    <mergeCell ref="AL24:AN24"/>
    <mergeCell ref="AJ22:AK22"/>
    <mergeCell ref="AL22:AN22"/>
    <mergeCell ref="AO22:AY22"/>
    <mergeCell ref="A23:B23"/>
    <mergeCell ref="T23:V23"/>
    <mergeCell ref="W23:X23"/>
    <mergeCell ref="Y23:Z23"/>
    <mergeCell ref="AA23:AB23"/>
    <mergeCell ref="AH23:AI23"/>
    <mergeCell ref="AJ23:AK23"/>
    <mergeCell ref="A22:B22"/>
    <mergeCell ref="T22:V22"/>
    <mergeCell ref="W22:X22"/>
    <mergeCell ref="Y22:Z22"/>
    <mergeCell ref="AA22:AB22"/>
    <mergeCell ref="AH22:AI22"/>
    <mergeCell ref="Y21:Z21"/>
    <mergeCell ref="AA21:AB21"/>
    <mergeCell ref="AH21:AI21"/>
    <mergeCell ref="AJ21:AK21"/>
    <mergeCell ref="AL21:AN21"/>
    <mergeCell ref="AO21:AY21"/>
    <mergeCell ref="AA20:AB20"/>
    <mergeCell ref="AH20:AI20"/>
    <mergeCell ref="AJ20:AK20"/>
    <mergeCell ref="AL20:AN20"/>
    <mergeCell ref="AO20:AY20"/>
    <mergeCell ref="A21:B21"/>
    <mergeCell ref="L21:S21"/>
    <mergeCell ref="T21:V21"/>
    <mergeCell ref="W21:X21"/>
    <mergeCell ref="A20:B20"/>
    <mergeCell ref="L20:S20"/>
    <mergeCell ref="T20:V20"/>
    <mergeCell ref="W20:X20"/>
    <mergeCell ref="Y20:Z20"/>
    <mergeCell ref="Y19:Z19"/>
    <mergeCell ref="AA19:AB19"/>
    <mergeCell ref="AH19:AI19"/>
    <mergeCell ref="AJ19:AK19"/>
    <mergeCell ref="AL19:AN19"/>
    <mergeCell ref="AO19:AY19"/>
    <mergeCell ref="AA18:AB18"/>
    <mergeCell ref="AH18:AI18"/>
    <mergeCell ref="AJ18:AK18"/>
    <mergeCell ref="AL18:AN18"/>
    <mergeCell ref="AO18:AY18"/>
    <mergeCell ref="A19:B19"/>
    <mergeCell ref="L19:S19"/>
    <mergeCell ref="T19:V19"/>
    <mergeCell ref="W19:X19"/>
    <mergeCell ref="A18:B18"/>
    <mergeCell ref="L18:S18"/>
    <mergeCell ref="T18:V18"/>
    <mergeCell ref="W18:X18"/>
    <mergeCell ref="Y18:Z18"/>
    <mergeCell ref="Y17:Z17"/>
    <mergeCell ref="AA17:AB17"/>
    <mergeCell ref="AH17:AI17"/>
    <mergeCell ref="AJ17:AK17"/>
    <mergeCell ref="AL17:AN17"/>
    <mergeCell ref="AO17:AY17"/>
    <mergeCell ref="AA16:AB16"/>
    <mergeCell ref="AH16:AI16"/>
    <mergeCell ref="AJ16:AK16"/>
    <mergeCell ref="AL16:AN16"/>
    <mergeCell ref="AO16:AY16"/>
    <mergeCell ref="A17:B17"/>
    <mergeCell ref="L17:S17"/>
    <mergeCell ref="T17:V17"/>
    <mergeCell ref="W17:X17"/>
    <mergeCell ref="A16:B16"/>
    <mergeCell ref="L16:S16"/>
    <mergeCell ref="T16:V16"/>
    <mergeCell ref="W16:X16"/>
    <mergeCell ref="Y16:Z16"/>
    <mergeCell ref="Y15:Z15"/>
    <mergeCell ref="AA15:AB15"/>
    <mergeCell ref="AH15:AI15"/>
    <mergeCell ref="AJ15:AK15"/>
    <mergeCell ref="AL15:AN15"/>
    <mergeCell ref="AO15:AY15"/>
    <mergeCell ref="AA14:AB14"/>
    <mergeCell ref="AH14:AI14"/>
    <mergeCell ref="AJ14:AK14"/>
    <mergeCell ref="AL14:AN14"/>
    <mergeCell ref="AO14:AY14"/>
    <mergeCell ref="A15:B15"/>
    <mergeCell ref="L15:S15"/>
    <mergeCell ref="T15:V15"/>
    <mergeCell ref="W15:X15"/>
    <mergeCell ref="A14:B14"/>
    <mergeCell ref="L14:S14"/>
    <mergeCell ref="T14:V14"/>
    <mergeCell ref="W14:X14"/>
    <mergeCell ref="Y14:Z14"/>
    <mergeCell ref="Y13:Z13"/>
    <mergeCell ref="AA13:AB13"/>
    <mergeCell ref="AH13:AI13"/>
    <mergeCell ref="AJ13:AK13"/>
    <mergeCell ref="AL13:AN13"/>
    <mergeCell ref="AO13:AY13"/>
    <mergeCell ref="AA12:AB12"/>
    <mergeCell ref="AH12:AI12"/>
    <mergeCell ref="AJ12:AK12"/>
    <mergeCell ref="AL12:AN12"/>
    <mergeCell ref="AO12:AY12"/>
    <mergeCell ref="A13:B13"/>
    <mergeCell ref="L13:S13"/>
    <mergeCell ref="T13:V13"/>
    <mergeCell ref="W13:X13"/>
    <mergeCell ref="A12:B12"/>
    <mergeCell ref="L12:S12"/>
    <mergeCell ref="T12:V12"/>
    <mergeCell ref="W12:X12"/>
    <mergeCell ref="Y12:Z12"/>
    <mergeCell ref="AA10:AB10"/>
    <mergeCell ref="AC10:AG10"/>
    <mergeCell ref="AH10:AI10"/>
    <mergeCell ref="AJ10:AK11"/>
    <mergeCell ref="AL10:AN11"/>
    <mergeCell ref="AO10:AY11"/>
    <mergeCell ref="AA11:AB11"/>
    <mergeCell ref="AH11:AI11"/>
    <mergeCell ref="A10:B11"/>
    <mergeCell ref="C10:K11"/>
    <mergeCell ref="L10:S11"/>
    <mergeCell ref="T10:V11"/>
    <mergeCell ref="W10:X11"/>
    <mergeCell ref="Y10:Z11"/>
    <mergeCell ref="G7:K7"/>
    <mergeCell ref="L7:AB7"/>
    <mergeCell ref="AC7:AG7"/>
    <mergeCell ref="AH7:AY7"/>
    <mergeCell ref="G8:K8"/>
    <mergeCell ref="L8:AB8"/>
    <mergeCell ref="AC8:AG8"/>
    <mergeCell ref="AH8:AY8"/>
    <mergeCell ref="AT4:AW4"/>
    <mergeCell ref="G5:K5"/>
    <mergeCell ref="AL5:AN5"/>
    <mergeCell ref="AO5:AS5"/>
    <mergeCell ref="AT5:AW5"/>
    <mergeCell ref="A6:F8"/>
    <mergeCell ref="G6:K6"/>
    <mergeCell ref="L6:AB6"/>
    <mergeCell ref="AC6:AG6"/>
    <mergeCell ref="AH6:AY6"/>
    <mergeCell ref="AX2:AY5"/>
    <mergeCell ref="G3:K3"/>
    <mergeCell ref="AI3:AK3"/>
    <mergeCell ref="AL3:AN3"/>
    <mergeCell ref="AO3:AS3"/>
    <mergeCell ref="AT3:AW3"/>
    <mergeCell ref="G4:K4"/>
    <mergeCell ref="AI4:AK5"/>
    <mergeCell ref="AL4:AN4"/>
    <mergeCell ref="AO4:AS4"/>
    <mergeCell ref="AO1:AS1"/>
    <mergeCell ref="AT1:AW1"/>
    <mergeCell ref="AX1:AY1"/>
    <mergeCell ref="G2:K2"/>
    <mergeCell ref="AC2:AE5"/>
    <mergeCell ref="AF2:AH5"/>
    <mergeCell ref="AI2:AK2"/>
    <mergeCell ref="AL2:AN2"/>
    <mergeCell ref="AO2:AS2"/>
    <mergeCell ref="AT2:AW2"/>
    <mergeCell ref="A1:F5"/>
    <mergeCell ref="G1:K1"/>
    <mergeCell ref="AC1:AE1"/>
    <mergeCell ref="AF1:AH1"/>
    <mergeCell ref="AI1:AK1"/>
    <mergeCell ref="AL1:AN1"/>
  </mergeCells>
  <phoneticPr fontId="23"/>
  <dataValidations count="1">
    <dataValidation type="list" allowBlank="1" showInputMessage="1" showErrorMessage="1" sqref="T54:V54 T50:T53 T12:V49" xr:uid="{E333593E-1B28-4D40-BEA9-A1790F0EAF13}">
      <formula1>型候補</formula1>
    </dataValidation>
  </dataValidations>
  <hyperlinks>
    <hyperlink ref="A1:F5" location="テーブル一覧!A1" display="テーブル一覧!A1" xr:uid="{D8F69BAE-2373-4819-85CD-A51B6615614F}"/>
  </hyperlinks>
  <pageMargins left="0.70866141732283472" right="0.70866141732283472" top="0.74803149606299213" bottom="0.74803149606299213" header="0.31496062992125984" footer="0.31496062992125984"/>
  <pageSetup paperSize="9" scale="83" fitToHeight="0" orientation="landscape" horizontalDpi="4294967294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400-000000000000}">
  <sheetPr codeName="Sheet35">
    <pageSetUpPr fitToPage="1"/>
  </sheetPr>
  <dimension ref="A1:AY54"/>
  <sheetViews>
    <sheetView view="pageBreakPreview" zoomScaleNormal="100" zoomScaleSheetLayoutView="100" workbookViewId="0">
      <selection activeCell="C12" sqref="C12:C31"/>
    </sheetView>
  </sheetViews>
  <sheetFormatPr defaultColWidth="3.83203125" defaultRowHeight="12"/>
  <cols>
    <col min="1" max="1" width="3.83203125" style="7" customWidth="1"/>
    <col min="2" max="3" width="3.83203125" style="8"/>
    <col min="4" max="49" width="3.83203125" style="7"/>
    <col min="50" max="50" width="4" style="7" customWidth="1"/>
    <col min="51" max="16384" width="3.83203125" style="7"/>
  </cols>
  <sheetData>
    <row r="1" spans="1:51" s="2" customFormat="1">
      <c r="A1" s="162" t="str">
        <f>L5</f>
        <v>テーブル定義書</v>
      </c>
      <c r="B1" s="163"/>
      <c r="C1" s="163"/>
      <c r="D1" s="163"/>
      <c r="E1" s="163"/>
      <c r="F1" s="164"/>
      <c r="G1" s="123" t="s">
        <v>59</v>
      </c>
      <c r="H1" s="113"/>
      <c r="I1" s="113"/>
      <c r="J1" s="113"/>
      <c r="K1" s="113"/>
      <c r="L1" s="1">
        <f>表紙!B8</f>
        <v>0</v>
      </c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24"/>
      <c r="AD1" s="124"/>
      <c r="AE1" s="124"/>
      <c r="AF1" s="124"/>
      <c r="AG1" s="124"/>
      <c r="AH1" s="124"/>
      <c r="AI1" s="113" t="s">
        <v>60</v>
      </c>
      <c r="AJ1" s="113"/>
      <c r="AK1" s="113"/>
      <c r="AL1" s="113" t="s">
        <v>61</v>
      </c>
      <c r="AM1" s="113"/>
      <c r="AN1" s="113"/>
      <c r="AO1" s="113" t="s">
        <v>62</v>
      </c>
      <c r="AP1" s="113"/>
      <c r="AQ1" s="113"/>
      <c r="AR1" s="113"/>
      <c r="AS1" s="113"/>
      <c r="AT1" s="113" t="s">
        <v>55</v>
      </c>
      <c r="AU1" s="113"/>
      <c r="AV1" s="113"/>
      <c r="AW1" s="113"/>
      <c r="AX1" s="113" t="s">
        <v>63</v>
      </c>
      <c r="AY1" s="114"/>
    </row>
    <row r="2" spans="1:51" s="2" customFormat="1">
      <c r="A2" s="165"/>
      <c r="B2" s="166"/>
      <c r="C2" s="166"/>
      <c r="D2" s="166"/>
      <c r="E2" s="166"/>
      <c r="F2" s="167"/>
      <c r="G2" s="115" t="s">
        <v>64</v>
      </c>
      <c r="H2" s="116"/>
      <c r="I2" s="116"/>
      <c r="J2" s="116"/>
      <c r="K2" s="116"/>
      <c r="L2" s="3">
        <f>表紙!M8</f>
        <v>0</v>
      </c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117"/>
      <c r="AD2" s="117"/>
      <c r="AE2" s="117"/>
      <c r="AF2" s="117"/>
      <c r="AG2" s="117"/>
      <c r="AH2" s="117"/>
      <c r="AI2" s="119" t="s">
        <v>65</v>
      </c>
      <c r="AJ2" s="119"/>
      <c r="AK2" s="119"/>
      <c r="AL2" s="120" t="s">
        <v>73</v>
      </c>
      <c r="AM2" s="120"/>
      <c r="AN2" s="120"/>
      <c r="AO2" s="121"/>
      <c r="AP2" s="121"/>
      <c r="AQ2" s="122"/>
      <c r="AR2" s="122"/>
      <c r="AS2" s="122"/>
      <c r="AT2" s="122"/>
      <c r="AU2" s="122"/>
      <c r="AV2" s="122"/>
      <c r="AW2" s="122"/>
      <c r="AX2" s="150" t="s">
        <v>74</v>
      </c>
      <c r="AY2" s="151"/>
    </row>
    <row r="3" spans="1:51" s="2" customFormat="1">
      <c r="A3" s="165"/>
      <c r="B3" s="166"/>
      <c r="C3" s="166"/>
      <c r="D3" s="166"/>
      <c r="E3" s="166"/>
      <c r="F3" s="167"/>
      <c r="G3" s="154" t="s">
        <v>66</v>
      </c>
      <c r="H3" s="119"/>
      <c r="I3" s="119"/>
      <c r="J3" s="119"/>
      <c r="K3" s="119"/>
      <c r="L3" s="4" t="s">
        <v>76</v>
      </c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117"/>
      <c r="AD3" s="117"/>
      <c r="AE3" s="117"/>
      <c r="AF3" s="117"/>
      <c r="AG3" s="117"/>
      <c r="AH3" s="117"/>
      <c r="AI3" s="155" t="s">
        <v>67</v>
      </c>
      <c r="AJ3" s="155"/>
      <c r="AK3" s="155"/>
      <c r="AL3" s="156"/>
      <c r="AM3" s="156"/>
      <c r="AN3" s="156"/>
      <c r="AO3" s="157" t="str">
        <f>IF( $AL3 &lt;&gt; "", VLOOKUP( $AL3, 表紙!$B$15:$AE$47, 5, FALSE ), "" )</f>
        <v/>
      </c>
      <c r="AP3" s="157"/>
      <c r="AQ3" s="158"/>
      <c r="AR3" s="158"/>
      <c r="AS3" s="158"/>
      <c r="AT3" s="158" t="str">
        <f>IF( $AL3 &lt;&gt; "", VLOOKUP( $AL3, 表紙!$B$15:$AE$47, 28, FALSE ), "" )</f>
        <v/>
      </c>
      <c r="AU3" s="158"/>
      <c r="AV3" s="158"/>
      <c r="AW3" s="158"/>
      <c r="AX3" s="150"/>
      <c r="AY3" s="151"/>
    </row>
    <row r="4" spans="1:51" s="2" customFormat="1">
      <c r="A4" s="165"/>
      <c r="B4" s="166"/>
      <c r="C4" s="166"/>
      <c r="D4" s="166"/>
      <c r="E4" s="166"/>
      <c r="F4" s="167"/>
      <c r="G4" s="159" t="s">
        <v>75</v>
      </c>
      <c r="H4" s="155"/>
      <c r="I4" s="155"/>
      <c r="J4" s="155"/>
      <c r="K4" s="15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117"/>
      <c r="AD4" s="117"/>
      <c r="AE4" s="117"/>
      <c r="AF4" s="117"/>
      <c r="AG4" s="117"/>
      <c r="AH4" s="117"/>
      <c r="AI4" s="155" t="s">
        <v>68</v>
      </c>
      <c r="AJ4" s="155"/>
      <c r="AK4" s="155"/>
      <c r="AL4" s="156"/>
      <c r="AM4" s="156"/>
      <c r="AN4" s="156"/>
      <c r="AO4" s="160"/>
      <c r="AP4" s="160"/>
      <c r="AQ4" s="161"/>
      <c r="AR4" s="161"/>
      <c r="AS4" s="161"/>
      <c r="AT4" s="125"/>
      <c r="AU4" s="125"/>
      <c r="AV4" s="125"/>
      <c r="AW4" s="125"/>
      <c r="AX4" s="150"/>
      <c r="AY4" s="151"/>
    </row>
    <row r="5" spans="1:51" s="2" customFormat="1" ht="12.75" thickBot="1">
      <c r="A5" s="168"/>
      <c r="B5" s="169"/>
      <c r="C5" s="169"/>
      <c r="D5" s="169"/>
      <c r="E5" s="169"/>
      <c r="F5" s="170"/>
      <c r="G5" s="126" t="s">
        <v>0</v>
      </c>
      <c r="H5" s="127"/>
      <c r="I5" s="127"/>
      <c r="J5" s="127"/>
      <c r="K5" s="127"/>
      <c r="L5" s="6" t="s">
        <v>87</v>
      </c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118"/>
      <c r="AD5" s="118"/>
      <c r="AE5" s="118"/>
      <c r="AF5" s="118"/>
      <c r="AG5" s="118"/>
      <c r="AH5" s="118"/>
      <c r="AI5" s="127"/>
      <c r="AJ5" s="127"/>
      <c r="AK5" s="127"/>
      <c r="AL5" s="128"/>
      <c r="AM5" s="128"/>
      <c r="AN5" s="128"/>
      <c r="AO5" s="129"/>
      <c r="AP5" s="129"/>
      <c r="AQ5" s="130"/>
      <c r="AR5" s="130"/>
      <c r="AS5" s="130"/>
      <c r="AT5" s="131"/>
      <c r="AU5" s="131"/>
      <c r="AV5" s="131"/>
      <c r="AW5" s="131"/>
      <c r="AX5" s="152"/>
      <c r="AY5" s="153"/>
    </row>
    <row r="6" spans="1:51" s="2" customFormat="1">
      <c r="A6" s="132" t="s">
        <v>1</v>
      </c>
      <c r="B6" s="133"/>
      <c r="C6" s="133"/>
      <c r="D6" s="133"/>
      <c r="E6" s="133"/>
      <c r="F6" s="134"/>
      <c r="G6" s="141" t="s">
        <v>10</v>
      </c>
      <c r="H6" s="142"/>
      <c r="I6" s="142"/>
      <c r="J6" s="142"/>
      <c r="K6" s="142"/>
      <c r="L6" s="143"/>
      <c r="M6" s="144"/>
      <c r="N6" s="144"/>
      <c r="O6" s="144"/>
      <c r="P6" s="144"/>
      <c r="Q6" s="144"/>
      <c r="R6" s="144"/>
      <c r="S6" s="144"/>
      <c r="T6" s="144"/>
      <c r="U6" s="144"/>
      <c r="V6" s="144"/>
      <c r="W6" s="144"/>
      <c r="X6" s="144"/>
      <c r="Y6" s="144"/>
      <c r="Z6" s="144"/>
      <c r="AA6" s="144"/>
      <c r="AB6" s="145"/>
      <c r="AC6" s="146" t="s">
        <v>14</v>
      </c>
      <c r="AD6" s="142"/>
      <c r="AE6" s="142"/>
      <c r="AF6" s="142"/>
      <c r="AG6" s="142"/>
      <c r="AH6" s="147" t="s">
        <v>79</v>
      </c>
      <c r="AI6" s="148"/>
      <c r="AJ6" s="148"/>
      <c r="AK6" s="148"/>
      <c r="AL6" s="148"/>
      <c r="AM6" s="148"/>
      <c r="AN6" s="148"/>
      <c r="AO6" s="148"/>
      <c r="AP6" s="148"/>
      <c r="AQ6" s="148"/>
      <c r="AR6" s="148"/>
      <c r="AS6" s="148"/>
      <c r="AT6" s="148"/>
      <c r="AU6" s="148"/>
      <c r="AV6" s="148"/>
      <c r="AW6" s="148"/>
      <c r="AX6" s="148"/>
      <c r="AY6" s="149"/>
    </row>
    <row r="7" spans="1:51" s="2" customFormat="1">
      <c r="A7" s="135"/>
      <c r="B7" s="136"/>
      <c r="C7" s="136"/>
      <c r="D7" s="136"/>
      <c r="E7" s="136"/>
      <c r="F7" s="137"/>
      <c r="G7" s="171" t="s">
        <v>11</v>
      </c>
      <c r="H7" s="155"/>
      <c r="I7" s="155"/>
      <c r="J7" s="155"/>
      <c r="K7" s="155"/>
      <c r="L7" s="172" t="s">
        <v>143</v>
      </c>
      <c r="M7" s="173"/>
      <c r="N7" s="173"/>
      <c r="O7" s="173"/>
      <c r="P7" s="173"/>
      <c r="Q7" s="173"/>
      <c r="R7" s="173"/>
      <c r="S7" s="173"/>
      <c r="T7" s="173"/>
      <c r="U7" s="173"/>
      <c r="V7" s="173"/>
      <c r="W7" s="173"/>
      <c r="X7" s="173"/>
      <c r="Y7" s="173"/>
      <c r="Z7" s="173"/>
      <c r="AA7" s="173"/>
      <c r="AB7" s="174"/>
      <c r="AC7" s="159" t="s">
        <v>13</v>
      </c>
      <c r="AD7" s="155"/>
      <c r="AE7" s="155"/>
      <c r="AF7" s="155"/>
      <c r="AG7" s="155"/>
      <c r="AH7" s="172" t="s">
        <v>143</v>
      </c>
      <c r="AI7" s="173"/>
      <c r="AJ7" s="173"/>
      <c r="AK7" s="173"/>
      <c r="AL7" s="173"/>
      <c r="AM7" s="173"/>
      <c r="AN7" s="173"/>
      <c r="AO7" s="173"/>
      <c r="AP7" s="173"/>
      <c r="AQ7" s="173"/>
      <c r="AR7" s="173"/>
      <c r="AS7" s="173"/>
      <c r="AT7" s="173"/>
      <c r="AU7" s="173"/>
      <c r="AV7" s="173"/>
      <c r="AW7" s="173"/>
      <c r="AX7" s="173"/>
      <c r="AY7" s="174"/>
    </row>
    <row r="8" spans="1:51" s="2" customFormat="1" ht="12.75" thickBot="1">
      <c r="A8" s="138"/>
      <c r="B8" s="139"/>
      <c r="C8" s="139"/>
      <c r="D8" s="139"/>
      <c r="E8" s="139"/>
      <c r="F8" s="140"/>
      <c r="G8" s="175" t="s">
        <v>12</v>
      </c>
      <c r="H8" s="176"/>
      <c r="I8" s="176"/>
      <c r="J8" s="176"/>
      <c r="K8" s="176"/>
      <c r="L8" s="177" t="s">
        <v>142</v>
      </c>
      <c r="M8" s="178"/>
      <c r="N8" s="178"/>
      <c r="O8" s="178"/>
      <c r="P8" s="178"/>
      <c r="Q8" s="178"/>
      <c r="R8" s="178"/>
      <c r="S8" s="178"/>
      <c r="T8" s="178"/>
      <c r="U8" s="178"/>
      <c r="V8" s="178"/>
      <c r="W8" s="178"/>
      <c r="X8" s="178"/>
      <c r="Y8" s="178"/>
      <c r="Z8" s="178"/>
      <c r="AA8" s="178"/>
      <c r="AB8" s="179"/>
      <c r="AC8" s="180" t="s">
        <v>33</v>
      </c>
      <c r="AD8" s="176"/>
      <c r="AE8" s="176"/>
      <c r="AF8" s="176"/>
      <c r="AG8" s="176"/>
      <c r="AH8" s="177" t="str">
        <f ca="1">RIGHT(CELL("filename",A1),LEN(CELL("filename",A1))-FIND("]",CELL("filename",A1)))</f>
        <v>m_会社</v>
      </c>
      <c r="AI8" s="178"/>
      <c r="AJ8" s="178"/>
      <c r="AK8" s="178"/>
      <c r="AL8" s="178"/>
      <c r="AM8" s="178"/>
      <c r="AN8" s="178"/>
      <c r="AO8" s="178"/>
      <c r="AP8" s="178"/>
      <c r="AQ8" s="178"/>
      <c r="AR8" s="178"/>
      <c r="AS8" s="178"/>
      <c r="AT8" s="178"/>
      <c r="AU8" s="178"/>
      <c r="AV8" s="178"/>
      <c r="AW8" s="178"/>
      <c r="AX8" s="178"/>
      <c r="AY8" s="179"/>
    </row>
    <row r="10" spans="1:51">
      <c r="A10" s="181" t="s">
        <v>15</v>
      </c>
      <c r="B10" s="181"/>
      <c r="C10" s="181" t="s">
        <v>17</v>
      </c>
      <c r="D10" s="181"/>
      <c r="E10" s="181"/>
      <c r="F10" s="181"/>
      <c r="G10" s="181"/>
      <c r="H10" s="181"/>
      <c r="I10" s="181"/>
      <c r="J10" s="181"/>
      <c r="K10" s="181"/>
      <c r="L10" s="183" t="s">
        <v>18</v>
      </c>
      <c r="M10" s="184"/>
      <c r="N10" s="184"/>
      <c r="O10" s="184"/>
      <c r="P10" s="184"/>
      <c r="Q10" s="184"/>
      <c r="R10" s="184"/>
      <c r="S10" s="185"/>
      <c r="T10" s="184" t="s">
        <v>16</v>
      </c>
      <c r="U10" s="184"/>
      <c r="V10" s="185"/>
      <c r="W10" s="181" t="s">
        <v>28</v>
      </c>
      <c r="X10" s="181"/>
      <c r="Y10" s="181" t="s">
        <v>29</v>
      </c>
      <c r="Z10" s="181"/>
      <c r="AA10" s="181" t="s">
        <v>25</v>
      </c>
      <c r="AB10" s="181"/>
      <c r="AC10" s="181" t="s">
        <v>26</v>
      </c>
      <c r="AD10" s="181"/>
      <c r="AE10" s="181"/>
      <c r="AF10" s="181"/>
      <c r="AG10" s="181"/>
      <c r="AH10" s="181" t="s">
        <v>27</v>
      </c>
      <c r="AI10" s="181"/>
      <c r="AJ10" s="182" t="s">
        <v>30</v>
      </c>
      <c r="AK10" s="181"/>
      <c r="AL10" s="181" t="s">
        <v>31</v>
      </c>
      <c r="AM10" s="181"/>
      <c r="AN10" s="181"/>
      <c r="AO10" s="181" t="s">
        <v>32</v>
      </c>
      <c r="AP10" s="181"/>
      <c r="AQ10" s="181"/>
      <c r="AR10" s="181"/>
      <c r="AS10" s="181"/>
      <c r="AT10" s="181"/>
      <c r="AU10" s="181"/>
      <c r="AV10" s="181"/>
      <c r="AW10" s="181"/>
      <c r="AX10" s="181"/>
      <c r="AY10" s="181"/>
    </row>
    <row r="11" spans="1:51">
      <c r="A11" s="181"/>
      <c r="B11" s="181"/>
      <c r="C11" s="181"/>
      <c r="D11" s="181"/>
      <c r="E11" s="181"/>
      <c r="F11" s="181"/>
      <c r="G11" s="181"/>
      <c r="H11" s="181"/>
      <c r="I11" s="181"/>
      <c r="J11" s="181"/>
      <c r="K11" s="181"/>
      <c r="L11" s="186"/>
      <c r="M11" s="187"/>
      <c r="N11" s="187"/>
      <c r="O11" s="187"/>
      <c r="P11" s="187"/>
      <c r="Q11" s="187"/>
      <c r="R11" s="187"/>
      <c r="S11" s="188"/>
      <c r="T11" s="187"/>
      <c r="U11" s="187"/>
      <c r="V11" s="188"/>
      <c r="W11" s="181"/>
      <c r="X11" s="181"/>
      <c r="Y11" s="181"/>
      <c r="Z11" s="181"/>
      <c r="AA11" s="181" t="s">
        <v>24</v>
      </c>
      <c r="AB11" s="181"/>
      <c r="AC11" s="9" t="s">
        <v>19</v>
      </c>
      <c r="AD11" s="9" t="s">
        <v>20</v>
      </c>
      <c r="AE11" s="9" t="s">
        <v>21</v>
      </c>
      <c r="AF11" s="9" t="s">
        <v>22</v>
      </c>
      <c r="AG11" s="9" t="s">
        <v>23</v>
      </c>
      <c r="AH11" s="181" t="s">
        <v>24</v>
      </c>
      <c r="AI11" s="181"/>
      <c r="AJ11" s="181"/>
      <c r="AK11" s="181"/>
      <c r="AL11" s="181"/>
      <c r="AM11" s="181"/>
      <c r="AN11" s="181"/>
      <c r="AO11" s="181"/>
      <c r="AP11" s="181"/>
      <c r="AQ11" s="181"/>
      <c r="AR11" s="181"/>
      <c r="AS11" s="181"/>
      <c r="AT11" s="181"/>
      <c r="AU11" s="181"/>
      <c r="AV11" s="181"/>
      <c r="AW11" s="181"/>
      <c r="AX11" s="181"/>
      <c r="AY11" s="181"/>
    </row>
    <row r="12" spans="1:51">
      <c r="A12" s="189">
        <f t="shared" ref="A12:A54" si="0">ROW()-11</f>
        <v>1</v>
      </c>
      <c r="B12" s="190"/>
      <c r="C12" s="61" t="s">
        <v>82</v>
      </c>
      <c r="D12" s="59"/>
      <c r="E12" s="59"/>
      <c r="F12" s="59"/>
      <c r="G12" s="59"/>
      <c r="H12" s="59"/>
      <c r="I12" s="59"/>
      <c r="J12" s="59"/>
      <c r="K12" s="60"/>
      <c r="L12" s="191" t="s">
        <v>93</v>
      </c>
      <c r="M12" s="192"/>
      <c r="N12" s="192"/>
      <c r="O12" s="192"/>
      <c r="P12" s="192"/>
      <c r="Q12" s="192"/>
      <c r="R12" s="192"/>
      <c r="S12" s="193"/>
      <c r="T12" s="194" t="s">
        <v>41</v>
      </c>
      <c r="U12" s="195"/>
      <c r="V12" s="196"/>
      <c r="W12" s="197" t="s">
        <v>43</v>
      </c>
      <c r="X12" s="198"/>
      <c r="Y12" s="197">
        <v>8</v>
      </c>
      <c r="Z12" s="198"/>
      <c r="AA12" s="197"/>
      <c r="AB12" s="198"/>
      <c r="AC12" s="47"/>
      <c r="AD12" s="22"/>
      <c r="AE12" s="22"/>
      <c r="AF12" s="22"/>
      <c r="AG12" s="49"/>
      <c r="AH12" s="197"/>
      <c r="AI12" s="198"/>
      <c r="AJ12" s="199"/>
      <c r="AK12" s="200"/>
      <c r="AL12" s="197"/>
      <c r="AM12" s="201"/>
      <c r="AN12" s="198"/>
      <c r="AO12" s="192"/>
      <c r="AP12" s="192"/>
      <c r="AQ12" s="192"/>
      <c r="AR12" s="192"/>
      <c r="AS12" s="192"/>
      <c r="AT12" s="192"/>
      <c r="AU12" s="192"/>
      <c r="AV12" s="192"/>
      <c r="AW12" s="192"/>
      <c r="AX12" s="192"/>
      <c r="AY12" s="193"/>
    </row>
    <row r="13" spans="1:51">
      <c r="A13" s="189">
        <f t="shared" si="0"/>
        <v>2</v>
      </c>
      <c r="B13" s="190"/>
      <c r="C13" s="61" t="s">
        <v>83</v>
      </c>
      <c r="D13" s="59"/>
      <c r="E13" s="59"/>
      <c r="F13" s="59"/>
      <c r="G13" s="59"/>
      <c r="H13" s="59"/>
      <c r="I13" s="59"/>
      <c r="J13" s="59"/>
      <c r="K13" s="60"/>
      <c r="L13" s="191" t="s">
        <v>94</v>
      </c>
      <c r="M13" s="192"/>
      <c r="N13" s="192"/>
      <c r="O13" s="192"/>
      <c r="P13" s="192"/>
      <c r="Q13" s="192"/>
      <c r="R13" s="192"/>
      <c r="S13" s="193"/>
      <c r="T13" s="194" t="s">
        <v>40</v>
      </c>
      <c r="U13" s="195"/>
      <c r="V13" s="196"/>
      <c r="W13" s="197">
        <v>60</v>
      </c>
      <c r="X13" s="198"/>
      <c r="Y13" s="197">
        <v>60</v>
      </c>
      <c r="Z13" s="198"/>
      <c r="AA13" s="197"/>
      <c r="AB13" s="198"/>
      <c r="AC13" s="47"/>
      <c r="AD13" s="22"/>
      <c r="AE13" s="22"/>
      <c r="AF13" s="22"/>
      <c r="AG13" s="49"/>
      <c r="AH13" s="197"/>
      <c r="AI13" s="198"/>
      <c r="AJ13" s="199"/>
      <c r="AK13" s="200"/>
      <c r="AL13" s="197"/>
      <c r="AM13" s="201"/>
      <c r="AN13" s="198"/>
      <c r="AO13" s="192"/>
      <c r="AP13" s="192"/>
      <c r="AQ13" s="192"/>
      <c r="AR13" s="192"/>
      <c r="AS13" s="192"/>
      <c r="AT13" s="192"/>
      <c r="AU13" s="192"/>
      <c r="AV13" s="192"/>
      <c r="AW13" s="192"/>
      <c r="AX13" s="192"/>
      <c r="AY13" s="193"/>
    </row>
    <row r="14" spans="1:51">
      <c r="A14" s="189">
        <f t="shared" si="0"/>
        <v>3</v>
      </c>
      <c r="B14" s="190"/>
      <c r="C14" s="61" t="s">
        <v>90</v>
      </c>
      <c r="D14" s="59"/>
      <c r="E14" s="59"/>
      <c r="F14" s="59"/>
      <c r="G14" s="59"/>
      <c r="H14" s="59"/>
      <c r="I14" s="59"/>
      <c r="J14" s="59"/>
      <c r="K14" s="60"/>
      <c r="L14" s="191" t="s">
        <v>95</v>
      </c>
      <c r="M14" s="192"/>
      <c r="N14" s="192"/>
      <c r="O14" s="192"/>
      <c r="P14" s="192"/>
      <c r="Q14" s="192"/>
      <c r="R14" s="192"/>
      <c r="S14" s="193"/>
      <c r="T14" s="194" t="s">
        <v>42</v>
      </c>
      <c r="U14" s="195"/>
      <c r="V14" s="196"/>
      <c r="W14" s="197" t="s">
        <v>91</v>
      </c>
      <c r="X14" s="198"/>
      <c r="Y14" s="197">
        <v>4</v>
      </c>
      <c r="Z14" s="198"/>
      <c r="AA14" s="197"/>
      <c r="AB14" s="198"/>
      <c r="AC14" s="47"/>
      <c r="AD14" s="22"/>
      <c r="AE14" s="22"/>
      <c r="AF14" s="22"/>
      <c r="AG14" s="49"/>
      <c r="AH14" s="197"/>
      <c r="AI14" s="198"/>
      <c r="AJ14" s="199"/>
      <c r="AK14" s="200"/>
      <c r="AL14" s="197"/>
      <c r="AM14" s="201"/>
      <c r="AN14" s="198"/>
      <c r="AO14" s="192"/>
      <c r="AP14" s="192"/>
      <c r="AQ14" s="192"/>
      <c r="AR14" s="192"/>
      <c r="AS14" s="192"/>
      <c r="AT14" s="192"/>
      <c r="AU14" s="192"/>
      <c r="AV14" s="192"/>
      <c r="AW14" s="192"/>
      <c r="AX14" s="192"/>
      <c r="AY14" s="193"/>
    </row>
    <row r="15" spans="1:51">
      <c r="A15" s="189">
        <f t="shared" si="0"/>
        <v>4</v>
      </c>
      <c r="B15" s="190"/>
      <c r="C15" s="61" t="s">
        <v>84</v>
      </c>
      <c r="D15" s="59"/>
      <c r="E15" s="59"/>
      <c r="F15" s="59"/>
      <c r="G15" s="59"/>
      <c r="H15" s="59"/>
      <c r="I15" s="59"/>
      <c r="J15" s="59"/>
      <c r="K15" s="60"/>
      <c r="L15" s="191" t="s">
        <v>96</v>
      </c>
      <c r="M15" s="192"/>
      <c r="N15" s="192"/>
      <c r="O15" s="192"/>
      <c r="P15" s="192"/>
      <c r="Q15" s="192"/>
      <c r="R15" s="192"/>
      <c r="S15" s="193"/>
      <c r="T15" s="194" t="s">
        <v>41</v>
      </c>
      <c r="U15" s="195"/>
      <c r="V15" s="196"/>
      <c r="W15" s="197" t="s">
        <v>43</v>
      </c>
      <c r="X15" s="198"/>
      <c r="Y15" s="197">
        <v>8</v>
      </c>
      <c r="Z15" s="198"/>
      <c r="AA15" s="197"/>
      <c r="AB15" s="198"/>
      <c r="AC15" s="47"/>
      <c r="AD15" s="22"/>
      <c r="AE15" s="22"/>
      <c r="AF15" s="22"/>
      <c r="AG15" s="49"/>
      <c r="AH15" s="197"/>
      <c r="AI15" s="198"/>
      <c r="AJ15" s="199"/>
      <c r="AK15" s="200"/>
      <c r="AL15" s="197"/>
      <c r="AM15" s="201"/>
      <c r="AN15" s="198"/>
      <c r="AO15" s="192"/>
      <c r="AP15" s="192"/>
      <c r="AQ15" s="192"/>
      <c r="AR15" s="192"/>
      <c r="AS15" s="192"/>
      <c r="AT15" s="192"/>
      <c r="AU15" s="192"/>
      <c r="AV15" s="192"/>
      <c r="AW15" s="192"/>
      <c r="AX15" s="192"/>
      <c r="AY15" s="193"/>
    </row>
    <row r="16" spans="1:51">
      <c r="A16" s="189">
        <f t="shared" si="0"/>
        <v>5</v>
      </c>
      <c r="B16" s="190"/>
      <c r="C16" s="61" t="s">
        <v>85</v>
      </c>
      <c r="D16" s="59"/>
      <c r="E16" s="59"/>
      <c r="F16" s="59"/>
      <c r="G16" s="59"/>
      <c r="H16" s="59"/>
      <c r="I16" s="59"/>
      <c r="J16" s="59"/>
      <c r="K16" s="60"/>
      <c r="L16" s="191" t="s">
        <v>97</v>
      </c>
      <c r="M16" s="192"/>
      <c r="N16" s="192"/>
      <c r="O16" s="192"/>
      <c r="P16" s="192"/>
      <c r="Q16" s="192"/>
      <c r="R16" s="192"/>
      <c r="S16" s="193"/>
      <c r="T16" s="194" t="s">
        <v>40</v>
      </c>
      <c r="U16" s="195"/>
      <c r="V16" s="196"/>
      <c r="W16" s="197">
        <v>60</v>
      </c>
      <c r="X16" s="198"/>
      <c r="Y16" s="197">
        <v>60</v>
      </c>
      <c r="Z16" s="198"/>
      <c r="AA16" s="197"/>
      <c r="AB16" s="198"/>
      <c r="AC16" s="47"/>
      <c r="AD16" s="22"/>
      <c r="AE16" s="22"/>
      <c r="AF16" s="22"/>
      <c r="AG16" s="49"/>
      <c r="AH16" s="197"/>
      <c r="AI16" s="198"/>
      <c r="AJ16" s="199"/>
      <c r="AK16" s="200"/>
      <c r="AL16" s="197"/>
      <c r="AM16" s="201"/>
      <c r="AN16" s="198"/>
      <c r="AO16" s="192"/>
      <c r="AP16" s="192"/>
      <c r="AQ16" s="192"/>
      <c r="AR16" s="192"/>
      <c r="AS16" s="192"/>
      <c r="AT16" s="192"/>
      <c r="AU16" s="192"/>
      <c r="AV16" s="192"/>
      <c r="AW16" s="192"/>
      <c r="AX16" s="192"/>
      <c r="AY16" s="193"/>
    </row>
    <row r="17" spans="1:51">
      <c r="A17" s="189">
        <f t="shared" si="0"/>
        <v>6</v>
      </c>
      <c r="B17" s="190"/>
      <c r="C17" s="61" t="s">
        <v>92</v>
      </c>
      <c r="D17" s="59"/>
      <c r="E17" s="59"/>
      <c r="F17" s="59"/>
      <c r="G17" s="59"/>
      <c r="H17" s="59"/>
      <c r="I17" s="59"/>
      <c r="J17" s="59"/>
      <c r="K17" s="60"/>
      <c r="L17" s="191" t="s">
        <v>98</v>
      </c>
      <c r="M17" s="192"/>
      <c r="N17" s="192"/>
      <c r="O17" s="192"/>
      <c r="P17" s="192"/>
      <c r="Q17" s="192"/>
      <c r="R17" s="192"/>
      <c r="S17" s="193"/>
      <c r="T17" s="194" t="s">
        <v>42</v>
      </c>
      <c r="U17" s="195"/>
      <c r="V17" s="196"/>
      <c r="W17" s="197" t="s">
        <v>91</v>
      </c>
      <c r="X17" s="198"/>
      <c r="Y17" s="197">
        <v>4</v>
      </c>
      <c r="Z17" s="198"/>
      <c r="AA17" s="197"/>
      <c r="AB17" s="198"/>
      <c r="AC17" s="47"/>
      <c r="AD17" s="22"/>
      <c r="AE17" s="22"/>
      <c r="AF17" s="22"/>
      <c r="AG17" s="49"/>
      <c r="AH17" s="197"/>
      <c r="AI17" s="198"/>
      <c r="AJ17" s="199"/>
      <c r="AK17" s="200"/>
      <c r="AL17" s="197"/>
      <c r="AM17" s="201"/>
      <c r="AN17" s="198"/>
      <c r="AO17" s="192"/>
      <c r="AP17" s="192"/>
      <c r="AQ17" s="192"/>
      <c r="AR17" s="192"/>
      <c r="AS17" s="192"/>
      <c r="AT17" s="192"/>
      <c r="AU17" s="192"/>
      <c r="AV17" s="192"/>
      <c r="AW17" s="192"/>
      <c r="AX17" s="192"/>
      <c r="AY17" s="193"/>
    </row>
    <row r="18" spans="1:51">
      <c r="A18" s="189">
        <f t="shared" si="0"/>
        <v>7</v>
      </c>
      <c r="B18" s="190"/>
      <c r="C18" s="61" t="s">
        <v>100</v>
      </c>
      <c r="D18" s="59"/>
      <c r="E18" s="59"/>
      <c r="F18" s="59"/>
      <c r="G18" s="59"/>
      <c r="H18" s="59"/>
      <c r="I18" s="59"/>
      <c r="J18" s="59"/>
      <c r="K18" s="60"/>
      <c r="L18" s="191" t="s">
        <v>103</v>
      </c>
      <c r="M18" s="192"/>
      <c r="N18" s="192"/>
      <c r="O18" s="192"/>
      <c r="P18" s="192"/>
      <c r="Q18" s="192"/>
      <c r="R18" s="192"/>
      <c r="S18" s="193"/>
      <c r="T18" s="194" t="s">
        <v>41</v>
      </c>
      <c r="U18" s="195"/>
      <c r="V18" s="196"/>
      <c r="W18" s="197" t="s">
        <v>43</v>
      </c>
      <c r="X18" s="198"/>
      <c r="Y18" s="197">
        <v>8</v>
      </c>
      <c r="Z18" s="198"/>
      <c r="AA18" s="197"/>
      <c r="AB18" s="198"/>
      <c r="AC18" s="47"/>
      <c r="AD18" s="22"/>
      <c r="AE18" s="22"/>
      <c r="AF18" s="22"/>
      <c r="AG18" s="49"/>
      <c r="AH18" s="197"/>
      <c r="AI18" s="198"/>
      <c r="AJ18" s="199"/>
      <c r="AK18" s="200"/>
      <c r="AL18" s="197"/>
      <c r="AM18" s="201"/>
      <c r="AN18" s="198"/>
      <c r="AO18" s="192"/>
      <c r="AP18" s="192"/>
      <c r="AQ18" s="192"/>
      <c r="AR18" s="192"/>
      <c r="AS18" s="192"/>
      <c r="AT18" s="192"/>
      <c r="AU18" s="192"/>
      <c r="AV18" s="192"/>
      <c r="AW18" s="192"/>
      <c r="AX18" s="192"/>
      <c r="AY18" s="193"/>
    </row>
    <row r="19" spans="1:51">
      <c r="A19" s="189">
        <f t="shared" si="0"/>
        <v>8</v>
      </c>
      <c r="B19" s="190"/>
      <c r="C19" s="61" t="s">
        <v>101</v>
      </c>
      <c r="D19" s="59"/>
      <c r="E19" s="59"/>
      <c r="F19" s="59"/>
      <c r="G19" s="59"/>
      <c r="H19" s="59"/>
      <c r="I19" s="59"/>
      <c r="J19" s="59"/>
      <c r="K19" s="60"/>
      <c r="L19" s="191" t="s">
        <v>104</v>
      </c>
      <c r="M19" s="192"/>
      <c r="N19" s="192"/>
      <c r="O19" s="192"/>
      <c r="P19" s="192"/>
      <c r="Q19" s="192"/>
      <c r="R19" s="192"/>
      <c r="S19" s="193"/>
      <c r="T19" s="194" t="s">
        <v>40</v>
      </c>
      <c r="U19" s="195"/>
      <c r="V19" s="196"/>
      <c r="W19" s="197">
        <v>60</v>
      </c>
      <c r="X19" s="198"/>
      <c r="Y19" s="197">
        <v>60</v>
      </c>
      <c r="Z19" s="198"/>
      <c r="AA19" s="197"/>
      <c r="AB19" s="198"/>
      <c r="AC19" s="47"/>
      <c r="AD19" s="22"/>
      <c r="AE19" s="22"/>
      <c r="AF19" s="22"/>
      <c r="AG19" s="49"/>
      <c r="AH19" s="197"/>
      <c r="AI19" s="198"/>
      <c r="AJ19" s="199"/>
      <c r="AK19" s="200"/>
      <c r="AL19" s="197"/>
      <c r="AM19" s="201"/>
      <c r="AN19" s="198"/>
      <c r="AO19" s="192"/>
      <c r="AP19" s="192"/>
      <c r="AQ19" s="192"/>
      <c r="AR19" s="192"/>
      <c r="AS19" s="192"/>
      <c r="AT19" s="192"/>
      <c r="AU19" s="192"/>
      <c r="AV19" s="192"/>
      <c r="AW19" s="192"/>
      <c r="AX19" s="192"/>
      <c r="AY19" s="193"/>
    </row>
    <row r="20" spans="1:51">
      <c r="A20" s="189">
        <f t="shared" si="0"/>
        <v>9</v>
      </c>
      <c r="B20" s="190"/>
      <c r="C20" s="61" t="s">
        <v>102</v>
      </c>
      <c r="D20" s="59"/>
      <c r="E20" s="59"/>
      <c r="F20" s="59"/>
      <c r="G20" s="59"/>
      <c r="H20" s="59"/>
      <c r="I20" s="59"/>
      <c r="J20" s="59"/>
      <c r="K20" s="60"/>
      <c r="L20" s="191" t="s">
        <v>105</v>
      </c>
      <c r="M20" s="192"/>
      <c r="N20" s="192"/>
      <c r="O20" s="192"/>
      <c r="P20" s="192"/>
      <c r="Q20" s="192"/>
      <c r="R20" s="192"/>
      <c r="S20" s="193"/>
      <c r="T20" s="194" t="s">
        <v>42</v>
      </c>
      <c r="U20" s="195"/>
      <c r="V20" s="196"/>
      <c r="W20" s="197" t="s">
        <v>91</v>
      </c>
      <c r="X20" s="198"/>
      <c r="Y20" s="197">
        <v>4</v>
      </c>
      <c r="Z20" s="198"/>
      <c r="AA20" s="197"/>
      <c r="AB20" s="198"/>
      <c r="AC20" s="47"/>
      <c r="AD20" s="22"/>
      <c r="AE20" s="22"/>
      <c r="AF20" s="22"/>
      <c r="AG20" s="49"/>
      <c r="AH20" s="197"/>
      <c r="AI20" s="198"/>
      <c r="AJ20" s="199"/>
      <c r="AK20" s="200"/>
      <c r="AL20" s="197"/>
      <c r="AM20" s="201"/>
      <c r="AN20" s="198"/>
      <c r="AO20" s="192"/>
      <c r="AP20" s="192"/>
      <c r="AQ20" s="192"/>
      <c r="AR20" s="192"/>
      <c r="AS20" s="192"/>
      <c r="AT20" s="192"/>
      <c r="AU20" s="192"/>
      <c r="AV20" s="192"/>
      <c r="AW20" s="192"/>
      <c r="AX20" s="192"/>
      <c r="AY20" s="193"/>
    </row>
    <row r="21" spans="1:51">
      <c r="A21" s="189">
        <f>ROW()-11</f>
        <v>10</v>
      </c>
      <c r="B21" s="190"/>
      <c r="C21" s="61" t="s">
        <v>86</v>
      </c>
      <c r="D21" s="59"/>
      <c r="E21" s="59"/>
      <c r="F21" s="59"/>
      <c r="G21" s="59"/>
      <c r="H21" s="59"/>
      <c r="I21" s="59"/>
      <c r="J21" s="59"/>
      <c r="K21" s="60"/>
      <c r="L21" s="191" t="s">
        <v>99</v>
      </c>
      <c r="M21" s="192"/>
      <c r="N21" s="192"/>
      <c r="O21" s="192"/>
      <c r="P21" s="192"/>
      <c r="Q21" s="192"/>
      <c r="R21" s="192"/>
      <c r="S21" s="193"/>
      <c r="T21" s="194" t="s">
        <v>42</v>
      </c>
      <c r="U21" s="195"/>
      <c r="V21" s="196"/>
      <c r="W21" s="197">
        <v>1</v>
      </c>
      <c r="X21" s="198"/>
      <c r="Y21" s="197">
        <v>1</v>
      </c>
      <c r="Z21" s="198"/>
      <c r="AA21" s="197"/>
      <c r="AB21" s="198"/>
      <c r="AC21" s="47"/>
      <c r="AD21" s="22"/>
      <c r="AE21" s="22"/>
      <c r="AF21" s="22"/>
      <c r="AG21" s="49"/>
      <c r="AH21" s="197"/>
      <c r="AI21" s="198"/>
      <c r="AJ21" s="199"/>
      <c r="AK21" s="200"/>
      <c r="AL21" s="197">
        <v>0</v>
      </c>
      <c r="AM21" s="201"/>
      <c r="AN21" s="198"/>
      <c r="AO21" s="192" t="s">
        <v>44</v>
      </c>
      <c r="AP21" s="192"/>
      <c r="AQ21" s="192"/>
      <c r="AR21" s="192"/>
      <c r="AS21" s="192"/>
      <c r="AT21" s="192"/>
      <c r="AU21" s="192"/>
      <c r="AV21" s="192"/>
      <c r="AW21" s="192"/>
      <c r="AX21" s="192"/>
      <c r="AY21" s="193"/>
    </row>
    <row r="22" spans="1:51">
      <c r="A22" s="202">
        <f t="shared" si="0"/>
        <v>11</v>
      </c>
      <c r="B22" s="204"/>
      <c r="C22" s="48" t="s">
        <v>145</v>
      </c>
      <c r="D22" s="42"/>
      <c r="E22" s="42"/>
      <c r="F22" s="42"/>
      <c r="G22" s="42"/>
      <c r="H22" s="42"/>
      <c r="I22" s="42"/>
      <c r="J22" s="42"/>
      <c r="K22" s="44"/>
      <c r="L22" s="48" t="s">
        <v>145</v>
      </c>
      <c r="M22" s="42"/>
      <c r="N22" s="42"/>
      <c r="O22" s="42"/>
      <c r="P22" s="42"/>
      <c r="Q22" s="42"/>
      <c r="R22" s="42"/>
      <c r="S22" s="44"/>
      <c r="T22" s="207" t="s">
        <v>42</v>
      </c>
      <c r="U22" s="208"/>
      <c r="V22" s="209"/>
      <c r="W22" s="220" t="s">
        <v>155</v>
      </c>
      <c r="X22" s="221"/>
      <c r="Y22" s="220">
        <v>1</v>
      </c>
      <c r="Z22" s="221"/>
      <c r="AA22" s="215">
        <v>1</v>
      </c>
      <c r="AB22" s="216"/>
      <c r="AC22" s="46"/>
      <c r="AD22" s="24"/>
      <c r="AE22" s="24"/>
      <c r="AF22" s="24"/>
      <c r="AG22" s="51"/>
      <c r="AH22" s="215"/>
      <c r="AI22" s="216"/>
      <c r="AJ22" s="212" t="s">
        <v>156</v>
      </c>
      <c r="AK22" s="213"/>
      <c r="AL22" s="215"/>
      <c r="AM22" s="217"/>
      <c r="AN22" s="216"/>
      <c r="AO22" s="205"/>
      <c r="AP22" s="205"/>
      <c r="AQ22" s="205"/>
      <c r="AR22" s="205"/>
      <c r="AS22" s="205"/>
      <c r="AT22" s="205"/>
      <c r="AU22" s="205"/>
      <c r="AV22" s="205"/>
      <c r="AW22" s="205"/>
      <c r="AX22" s="205"/>
      <c r="AY22" s="206"/>
    </row>
    <row r="23" spans="1:51">
      <c r="A23" s="202">
        <f t="shared" si="0"/>
        <v>12</v>
      </c>
      <c r="B23" s="204"/>
      <c r="C23" s="48" t="s">
        <v>146</v>
      </c>
      <c r="D23" s="42"/>
      <c r="E23" s="42"/>
      <c r="F23" s="42"/>
      <c r="G23" s="42"/>
      <c r="H23" s="42"/>
      <c r="I23" s="42"/>
      <c r="J23" s="42"/>
      <c r="K23" s="44"/>
      <c r="L23" s="48" t="s">
        <v>146</v>
      </c>
      <c r="M23" s="42"/>
      <c r="N23" s="42"/>
      <c r="O23" s="42"/>
      <c r="P23" s="42"/>
      <c r="Q23" s="42"/>
      <c r="R23" s="42"/>
      <c r="S23" s="44"/>
      <c r="T23" s="207" t="s">
        <v>40</v>
      </c>
      <c r="U23" s="208"/>
      <c r="V23" s="209"/>
      <c r="W23" s="202">
        <v>60</v>
      </c>
      <c r="X23" s="204"/>
      <c r="Y23" s="202">
        <v>60</v>
      </c>
      <c r="Z23" s="204"/>
      <c r="AA23" s="202"/>
      <c r="AB23" s="204"/>
      <c r="AC23" s="46"/>
      <c r="AD23" s="24"/>
      <c r="AE23" s="24"/>
      <c r="AF23" s="24"/>
      <c r="AG23" s="51"/>
      <c r="AH23" s="202"/>
      <c r="AI23" s="204"/>
      <c r="AJ23" s="212"/>
      <c r="AK23" s="213"/>
      <c r="AL23" s="202"/>
      <c r="AM23" s="203"/>
      <c r="AN23" s="204"/>
      <c r="AO23" s="205"/>
      <c r="AP23" s="205"/>
      <c r="AQ23" s="205"/>
      <c r="AR23" s="205"/>
      <c r="AS23" s="205"/>
      <c r="AT23" s="205"/>
      <c r="AU23" s="205"/>
      <c r="AV23" s="205"/>
      <c r="AW23" s="205"/>
      <c r="AX23" s="205"/>
      <c r="AY23" s="206"/>
    </row>
    <row r="24" spans="1:51">
      <c r="A24" s="202">
        <f t="shared" si="0"/>
        <v>13</v>
      </c>
      <c r="B24" s="204"/>
      <c r="C24" s="48" t="s">
        <v>147</v>
      </c>
      <c r="D24" s="42"/>
      <c r="E24" s="42"/>
      <c r="F24" s="42"/>
      <c r="G24" s="42"/>
      <c r="H24" s="42"/>
      <c r="I24" s="42"/>
      <c r="J24" s="42"/>
      <c r="K24" s="44"/>
      <c r="L24" s="48" t="s">
        <v>147</v>
      </c>
      <c r="M24" s="42"/>
      <c r="N24" s="42"/>
      <c r="O24" s="42"/>
      <c r="P24" s="42"/>
      <c r="Q24" s="42"/>
      <c r="R24" s="42"/>
      <c r="S24" s="44"/>
      <c r="T24" s="207" t="s">
        <v>40</v>
      </c>
      <c r="U24" s="208"/>
      <c r="V24" s="209"/>
      <c r="W24" s="202">
        <v>60</v>
      </c>
      <c r="X24" s="204"/>
      <c r="Y24" s="202">
        <v>60</v>
      </c>
      <c r="Z24" s="204"/>
      <c r="AA24" s="202"/>
      <c r="AB24" s="204"/>
      <c r="AC24" s="46"/>
      <c r="AD24" s="24"/>
      <c r="AE24" s="24"/>
      <c r="AF24" s="24"/>
      <c r="AG24" s="51"/>
      <c r="AH24" s="202"/>
      <c r="AI24" s="204"/>
      <c r="AJ24" s="100"/>
      <c r="AK24" s="102"/>
      <c r="AL24" s="202"/>
      <c r="AM24" s="203"/>
      <c r="AN24" s="204"/>
      <c r="AO24" s="205"/>
      <c r="AP24" s="205"/>
      <c r="AQ24" s="205"/>
      <c r="AR24" s="205"/>
      <c r="AS24" s="205"/>
      <c r="AT24" s="205"/>
      <c r="AU24" s="205"/>
      <c r="AV24" s="205"/>
      <c r="AW24" s="205"/>
      <c r="AX24" s="205"/>
      <c r="AY24" s="206"/>
    </row>
    <row r="25" spans="1:51">
      <c r="A25" s="202">
        <f t="shared" si="0"/>
        <v>14</v>
      </c>
      <c r="B25" s="204"/>
      <c r="C25" s="48" t="s">
        <v>148</v>
      </c>
      <c r="D25" s="42"/>
      <c r="E25" s="42"/>
      <c r="F25" s="42"/>
      <c r="G25" s="42"/>
      <c r="H25" s="42"/>
      <c r="I25" s="42"/>
      <c r="J25" s="42"/>
      <c r="K25" s="44"/>
      <c r="L25" s="48" t="s">
        <v>148</v>
      </c>
      <c r="M25" s="42"/>
      <c r="N25" s="42"/>
      <c r="O25" s="42"/>
      <c r="P25" s="42"/>
      <c r="Q25" s="42"/>
      <c r="R25" s="42"/>
      <c r="S25" s="44"/>
      <c r="T25" s="207" t="s">
        <v>40</v>
      </c>
      <c r="U25" s="208"/>
      <c r="V25" s="209"/>
      <c r="W25" s="202">
        <v>30</v>
      </c>
      <c r="X25" s="204"/>
      <c r="Y25" s="202">
        <v>30</v>
      </c>
      <c r="Z25" s="204"/>
      <c r="AA25" s="202"/>
      <c r="AB25" s="204"/>
      <c r="AC25" s="45"/>
      <c r="AD25" s="23"/>
      <c r="AE25" s="23"/>
      <c r="AF25" s="23"/>
      <c r="AG25" s="50"/>
      <c r="AH25" s="202"/>
      <c r="AI25" s="204"/>
      <c r="AJ25" s="100"/>
      <c r="AK25" s="102"/>
      <c r="AL25" s="202"/>
      <c r="AM25" s="203"/>
      <c r="AN25" s="204"/>
      <c r="AO25" s="205"/>
      <c r="AP25" s="205"/>
      <c r="AQ25" s="205"/>
      <c r="AR25" s="205"/>
      <c r="AS25" s="205"/>
      <c r="AT25" s="205"/>
      <c r="AU25" s="205"/>
      <c r="AV25" s="205"/>
      <c r="AW25" s="205"/>
      <c r="AX25" s="205"/>
      <c r="AY25" s="206"/>
    </row>
    <row r="26" spans="1:51">
      <c r="A26" s="202">
        <f t="shared" si="0"/>
        <v>15</v>
      </c>
      <c r="B26" s="204"/>
      <c r="C26" s="48" t="s">
        <v>149</v>
      </c>
      <c r="D26" s="42"/>
      <c r="E26" s="42"/>
      <c r="F26" s="42"/>
      <c r="G26" s="42"/>
      <c r="H26" s="42"/>
      <c r="I26" s="42"/>
      <c r="J26" s="42"/>
      <c r="K26" s="44"/>
      <c r="L26" s="48" t="s">
        <v>149</v>
      </c>
      <c r="M26" s="42"/>
      <c r="N26" s="42"/>
      <c r="O26" s="42"/>
      <c r="P26" s="42"/>
      <c r="Q26" s="42"/>
      <c r="R26" s="42"/>
      <c r="S26" s="44"/>
      <c r="T26" s="207" t="s">
        <v>40</v>
      </c>
      <c r="U26" s="208"/>
      <c r="V26" s="209"/>
      <c r="W26" s="202">
        <v>7</v>
      </c>
      <c r="X26" s="204"/>
      <c r="Y26" s="202">
        <v>7</v>
      </c>
      <c r="Z26" s="204"/>
      <c r="AA26" s="215"/>
      <c r="AB26" s="216"/>
      <c r="AC26" s="46"/>
      <c r="AD26" s="24"/>
      <c r="AE26" s="24"/>
      <c r="AF26" s="24"/>
      <c r="AG26" s="51"/>
      <c r="AH26" s="215"/>
      <c r="AI26" s="216"/>
      <c r="AJ26" s="100"/>
      <c r="AK26" s="102"/>
      <c r="AL26" s="215"/>
      <c r="AM26" s="217"/>
      <c r="AN26" s="216"/>
      <c r="AO26" s="205"/>
      <c r="AP26" s="205"/>
      <c r="AQ26" s="205"/>
      <c r="AR26" s="205"/>
      <c r="AS26" s="205"/>
      <c r="AT26" s="205"/>
      <c r="AU26" s="205"/>
      <c r="AV26" s="205"/>
      <c r="AW26" s="205"/>
      <c r="AX26" s="205"/>
      <c r="AY26" s="206"/>
    </row>
    <row r="27" spans="1:51">
      <c r="A27" s="218">
        <f t="shared" si="0"/>
        <v>16</v>
      </c>
      <c r="B27" s="219"/>
      <c r="C27" s="48" t="s">
        <v>150</v>
      </c>
      <c r="D27" s="42"/>
      <c r="E27" s="42"/>
      <c r="F27" s="42"/>
      <c r="G27" s="42"/>
      <c r="H27" s="42"/>
      <c r="I27" s="42"/>
      <c r="J27" s="42"/>
      <c r="K27" s="44"/>
      <c r="L27" s="48" t="s">
        <v>150</v>
      </c>
      <c r="M27" s="42"/>
      <c r="N27" s="42"/>
      <c r="O27" s="42"/>
      <c r="P27" s="42"/>
      <c r="Q27" s="42"/>
      <c r="R27" s="42"/>
      <c r="S27" s="44"/>
      <c r="T27" s="207" t="s">
        <v>40</v>
      </c>
      <c r="U27" s="208"/>
      <c r="V27" s="209"/>
      <c r="W27" s="202">
        <v>60</v>
      </c>
      <c r="X27" s="204"/>
      <c r="Y27" s="202">
        <v>60</v>
      </c>
      <c r="Z27" s="204"/>
      <c r="AA27" s="220"/>
      <c r="AB27" s="221"/>
      <c r="AC27" s="45"/>
      <c r="AD27" s="23"/>
      <c r="AE27" s="23"/>
      <c r="AF27" s="23"/>
      <c r="AG27" s="50"/>
      <c r="AH27" s="220"/>
      <c r="AI27" s="221"/>
      <c r="AJ27" s="223"/>
      <c r="AK27" s="224"/>
      <c r="AL27" s="220"/>
      <c r="AM27" s="222"/>
      <c r="AN27" s="221"/>
      <c r="AO27" s="205"/>
      <c r="AP27" s="205"/>
      <c r="AQ27" s="205"/>
      <c r="AR27" s="205"/>
      <c r="AS27" s="205"/>
      <c r="AT27" s="205"/>
      <c r="AU27" s="205"/>
      <c r="AV27" s="205"/>
      <c r="AW27" s="205"/>
      <c r="AX27" s="205"/>
      <c r="AY27" s="206"/>
    </row>
    <row r="28" spans="1:51">
      <c r="A28" s="218">
        <f t="shared" si="0"/>
        <v>17</v>
      </c>
      <c r="B28" s="219"/>
      <c r="C28" s="48" t="s">
        <v>151</v>
      </c>
      <c r="D28" s="42"/>
      <c r="E28" s="42"/>
      <c r="F28" s="42"/>
      <c r="G28" s="42"/>
      <c r="H28" s="42"/>
      <c r="I28" s="42"/>
      <c r="J28" s="42"/>
      <c r="K28" s="44"/>
      <c r="L28" s="48" t="s">
        <v>151</v>
      </c>
      <c r="M28" s="42"/>
      <c r="N28" s="42"/>
      <c r="O28" s="42"/>
      <c r="P28" s="42"/>
      <c r="Q28" s="42"/>
      <c r="R28" s="42"/>
      <c r="S28" s="44"/>
      <c r="T28" s="207" t="s">
        <v>40</v>
      </c>
      <c r="U28" s="208"/>
      <c r="V28" s="209"/>
      <c r="W28" s="202">
        <v>60</v>
      </c>
      <c r="X28" s="204"/>
      <c r="Y28" s="202">
        <v>60</v>
      </c>
      <c r="Z28" s="204"/>
      <c r="AA28" s="202"/>
      <c r="AB28" s="204"/>
      <c r="AC28" s="45"/>
      <c r="AD28" s="23"/>
      <c r="AE28" s="23"/>
      <c r="AF28" s="23"/>
      <c r="AG28" s="50"/>
      <c r="AH28" s="202"/>
      <c r="AI28" s="204"/>
      <c r="AJ28" s="100"/>
      <c r="AK28" s="102"/>
      <c r="AL28" s="202"/>
      <c r="AM28" s="203"/>
      <c r="AN28" s="204"/>
      <c r="AO28" s="205"/>
      <c r="AP28" s="205"/>
      <c r="AQ28" s="205"/>
      <c r="AR28" s="205"/>
      <c r="AS28" s="205"/>
      <c r="AT28" s="205"/>
      <c r="AU28" s="205"/>
      <c r="AV28" s="205"/>
      <c r="AW28" s="205"/>
      <c r="AX28" s="205"/>
      <c r="AY28" s="206"/>
    </row>
    <row r="29" spans="1:51">
      <c r="A29" s="218">
        <f t="shared" si="0"/>
        <v>18</v>
      </c>
      <c r="B29" s="219"/>
      <c r="C29" s="48" t="s">
        <v>152</v>
      </c>
      <c r="D29" s="42"/>
      <c r="E29" s="42"/>
      <c r="F29" s="42"/>
      <c r="G29" s="42"/>
      <c r="H29" s="42"/>
      <c r="I29" s="42"/>
      <c r="J29" s="42"/>
      <c r="K29" s="44"/>
      <c r="L29" s="48" t="s">
        <v>152</v>
      </c>
      <c r="M29" s="42"/>
      <c r="N29" s="42"/>
      <c r="O29" s="42"/>
      <c r="P29" s="42"/>
      <c r="Q29" s="42"/>
      <c r="R29" s="42"/>
      <c r="S29" s="44"/>
      <c r="T29" s="207" t="s">
        <v>40</v>
      </c>
      <c r="U29" s="208"/>
      <c r="V29" s="209"/>
      <c r="W29" s="202">
        <v>60</v>
      </c>
      <c r="X29" s="204"/>
      <c r="Y29" s="202">
        <v>60</v>
      </c>
      <c r="Z29" s="204"/>
      <c r="AA29" s="202"/>
      <c r="AB29" s="204"/>
      <c r="AC29" s="45"/>
      <c r="AD29" s="23"/>
      <c r="AE29" s="23"/>
      <c r="AF29" s="23"/>
      <c r="AG29" s="50"/>
      <c r="AH29" s="202"/>
      <c r="AI29" s="204"/>
      <c r="AJ29" s="100"/>
      <c r="AK29" s="102"/>
      <c r="AL29" s="202"/>
      <c r="AM29" s="203"/>
      <c r="AN29" s="204"/>
      <c r="AO29" s="205"/>
      <c r="AP29" s="205"/>
      <c r="AQ29" s="205"/>
      <c r="AR29" s="205"/>
      <c r="AS29" s="205"/>
      <c r="AT29" s="205"/>
      <c r="AU29" s="205"/>
      <c r="AV29" s="205"/>
      <c r="AW29" s="205"/>
      <c r="AX29" s="205"/>
      <c r="AY29" s="206"/>
    </row>
    <row r="30" spans="1:51">
      <c r="A30" s="218">
        <f t="shared" si="0"/>
        <v>19</v>
      </c>
      <c r="B30" s="219"/>
      <c r="C30" s="48" t="s">
        <v>153</v>
      </c>
      <c r="D30" s="42"/>
      <c r="E30" s="42"/>
      <c r="F30" s="42"/>
      <c r="G30" s="42"/>
      <c r="H30" s="42"/>
      <c r="I30" s="42"/>
      <c r="J30" s="42"/>
      <c r="K30" s="44"/>
      <c r="L30" s="48" t="s">
        <v>153</v>
      </c>
      <c r="M30" s="42"/>
      <c r="N30" s="42"/>
      <c r="O30" s="42"/>
      <c r="P30" s="42"/>
      <c r="Q30" s="42"/>
      <c r="R30" s="42"/>
      <c r="S30" s="44"/>
      <c r="T30" s="207" t="s">
        <v>40</v>
      </c>
      <c r="U30" s="208"/>
      <c r="V30" s="209"/>
      <c r="W30" s="202">
        <v>15</v>
      </c>
      <c r="X30" s="204"/>
      <c r="Y30" s="202">
        <v>15</v>
      </c>
      <c r="Z30" s="204"/>
      <c r="AA30" s="220"/>
      <c r="AB30" s="221"/>
      <c r="AC30" s="45"/>
      <c r="AD30" s="23"/>
      <c r="AE30" s="23"/>
      <c r="AF30" s="23"/>
      <c r="AG30" s="50"/>
      <c r="AH30" s="220"/>
      <c r="AI30" s="221"/>
      <c r="AJ30" s="223"/>
      <c r="AK30" s="224"/>
      <c r="AL30" s="220"/>
      <c r="AM30" s="222"/>
      <c r="AN30" s="221"/>
      <c r="AO30" s="205"/>
      <c r="AP30" s="205"/>
      <c r="AQ30" s="205"/>
      <c r="AR30" s="205"/>
      <c r="AS30" s="205"/>
      <c r="AT30" s="205"/>
      <c r="AU30" s="205"/>
      <c r="AV30" s="205"/>
      <c r="AW30" s="205"/>
      <c r="AX30" s="205"/>
      <c r="AY30" s="206"/>
    </row>
    <row r="31" spans="1:51">
      <c r="A31" s="218">
        <f t="shared" si="0"/>
        <v>20</v>
      </c>
      <c r="B31" s="219"/>
      <c r="C31" s="48" t="s">
        <v>154</v>
      </c>
      <c r="D31" s="42"/>
      <c r="E31" s="42"/>
      <c r="F31" s="42"/>
      <c r="G31" s="42"/>
      <c r="H31" s="42"/>
      <c r="I31" s="42"/>
      <c r="J31" s="42"/>
      <c r="K31" s="44"/>
      <c r="L31" s="48" t="s">
        <v>154</v>
      </c>
      <c r="M31" s="42"/>
      <c r="N31" s="42"/>
      <c r="O31" s="42"/>
      <c r="P31" s="42"/>
      <c r="Q31" s="42"/>
      <c r="R31" s="42"/>
      <c r="S31" s="44"/>
      <c r="T31" s="207" t="s">
        <v>40</v>
      </c>
      <c r="U31" s="208"/>
      <c r="V31" s="209"/>
      <c r="W31" s="202">
        <v>15</v>
      </c>
      <c r="X31" s="204"/>
      <c r="Y31" s="202">
        <v>15</v>
      </c>
      <c r="Z31" s="204"/>
      <c r="AA31" s="220"/>
      <c r="AB31" s="221"/>
      <c r="AC31" s="45"/>
      <c r="AD31" s="23"/>
      <c r="AE31" s="23"/>
      <c r="AF31" s="23"/>
      <c r="AG31" s="50"/>
      <c r="AH31" s="220"/>
      <c r="AI31" s="221"/>
      <c r="AJ31" s="223"/>
      <c r="AK31" s="224"/>
      <c r="AL31" s="220"/>
      <c r="AM31" s="222"/>
      <c r="AN31" s="221"/>
      <c r="AO31" s="205"/>
      <c r="AP31" s="205"/>
      <c r="AQ31" s="205"/>
      <c r="AR31" s="205"/>
      <c r="AS31" s="205"/>
      <c r="AT31" s="205"/>
      <c r="AU31" s="205"/>
      <c r="AV31" s="205"/>
      <c r="AW31" s="205"/>
      <c r="AX31" s="205"/>
      <c r="AY31" s="206"/>
    </row>
    <row r="32" spans="1:51">
      <c r="A32" s="218">
        <f t="shared" si="0"/>
        <v>21</v>
      </c>
      <c r="B32" s="219"/>
      <c r="C32" s="48"/>
      <c r="D32" s="42"/>
      <c r="E32" s="42"/>
      <c r="F32" s="42"/>
      <c r="G32" s="42"/>
      <c r="H32" s="42"/>
      <c r="I32" s="42"/>
      <c r="J32" s="42"/>
      <c r="K32" s="44"/>
      <c r="L32" s="48"/>
      <c r="M32" s="42"/>
      <c r="N32" s="42"/>
      <c r="O32" s="42"/>
      <c r="P32" s="42"/>
      <c r="Q32" s="42"/>
      <c r="R32" s="42"/>
      <c r="S32" s="44"/>
      <c r="T32" s="207"/>
      <c r="U32" s="208"/>
      <c r="V32" s="209"/>
      <c r="W32" s="202"/>
      <c r="X32" s="204"/>
      <c r="Y32" s="220"/>
      <c r="Z32" s="221"/>
      <c r="AA32" s="220"/>
      <c r="AB32" s="221"/>
      <c r="AC32" s="45"/>
      <c r="AD32" s="23"/>
      <c r="AE32" s="23"/>
      <c r="AF32" s="23"/>
      <c r="AG32" s="50"/>
      <c r="AH32" s="220"/>
      <c r="AI32" s="221"/>
      <c r="AJ32" s="223"/>
      <c r="AK32" s="224"/>
      <c r="AL32" s="220"/>
      <c r="AM32" s="222"/>
      <c r="AN32" s="221"/>
      <c r="AO32" s="205"/>
      <c r="AP32" s="205"/>
      <c r="AQ32" s="205"/>
      <c r="AR32" s="205"/>
      <c r="AS32" s="205"/>
      <c r="AT32" s="205"/>
      <c r="AU32" s="205"/>
      <c r="AV32" s="205"/>
      <c r="AW32" s="205"/>
      <c r="AX32" s="205"/>
      <c r="AY32" s="206"/>
    </row>
    <row r="33" spans="1:51">
      <c r="A33" s="218">
        <f t="shared" si="0"/>
        <v>22</v>
      </c>
      <c r="B33" s="219"/>
      <c r="C33" s="48"/>
      <c r="D33" s="42"/>
      <c r="E33" s="42"/>
      <c r="F33" s="42"/>
      <c r="G33" s="42"/>
      <c r="H33" s="42"/>
      <c r="I33" s="42"/>
      <c r="J33" s="42"/>
      <c r="K33" s="44"/>
      <c r="L33" s="48"/>
      <c r="M33" s="42"/>
      <c r="N33" s="42"/>
      <c r="O33" s="42"/>
      <c r="P33" s="42"/>
      <c r="Q33" s="42"/>
      <c r="R33" s="42"/>
      <c r="S33" s="44"/>
      <c r="T33" s="207"/>
      <c r="U33" s="208"/>
      <c r="V33" s="209"/>
      <c r="W33" s="202"/>
      <c r="X33" s="204"/>
      <c r="Y33" s="220"/>
      <c r="Z33" s="221"/>
      <c r="AA33" s="220"/>
      <c r="AB33" s="221"/>
      <c r="AC33" s="45"/>
      <c r="AD33" s="23"/>
      <c r="AE33" s="23"/>
      <c r="AF33" s="23"/>
      <c r="AG33" s="50"/>
      <c r="AH33" s="220"/>
      <c r="AI33" s="221"/>
      <c r="AJ33" s="223"/>
      <c r="AK33" s="224"/>
      <c r="AL33" s="220"/>
      <c r="AM33" s="222"/>
      <c r="AN33" s="221"/>
      <c r="AO33" s="205"/>
      <c r="AP33" s="205"/>
      <c r="AQ33" s="205"/>
      <c r="AR33" s="205"/>
      <c r="AS33" s="205"/>
      <c r="AT33" s="205"/>
      <c r="AU33" s="205"/>
      <c r="AV33" s="205"/>
      <c r="AW33" s="205"/>
      <c r="AX33" s="205"/>
      <c r="AY33" s="206"/>
    </row>
    <row r="34" spans="1:51">
      <c r="A34" s="218">
        <f t="shared" si="0"/>
        <v>23</v>
      </c>
      <c r="B34" s="219"/>
      <c r="C34" s="48"/>
      <c r="D34" s="42"/>
      <c r="E34" s="42"/>
      <c r="F34" s="42"/>
      <c r="G34" s="42"/>
      <c r="H34" s="42"/>
      <c r="I34" s="42"/>
      <c r="J34" s="42"/>
      <c r="K34" s="44"/>
      <c r="L34" s="48"/>
      <c r="M34" s="42"/>
      <c r="N34" s="42"/>
      <c r="O34" s="42"/>
      <c r="P34" s="42"/>
      <c r="Q34" s="42"/>
      <c r="R34" s="42"/>
      <c r="S34" s="44"/>
      <c r="T34" s="207"/>
      <c r="U34" s="208"/>
      <c r="V34" s="209"/>
      <c r="W34" s="202"/>
      <c r="X34" s="204"/>
      <c r="Y34" s="202"/>
      <c r="Z34" s="204"/>
      <c r="AA34" s="220"/>
      <c r="AB34" s="221"/>
      <c r="AC34" s="45"/>
      <c r="AD34" s="23"/>
      <c r="AE34" s="23"/>
      <c r="AF34" s="23"/>
      <c r="AG34" s="50"/>
      <c r="AH34" s="220"/>
      <c r="AI34" s="221"/>
      <c r="AJ34" s="223"/>
      <c r="AK34" s="224"/>
      <c r="AL34" s="220"/>
      <c r="AM34" s="222"/>
      <c r="AN34" s="221"/>
      <c r="AO34" s="205"/>
      <c r="AP34" s="205"/>
      <c r="AQ34" s="205"/>
      <c r="AR34" s="205"/>
      <c r="AS34" s="205"/>
      <c r="AT34" s="205"/>
      <c r="AU34" s="205"/>
      <c r="AV34" s="205"/>
      <c r="AW34" s="205"/>
      <c r="AX34" s="205"/>
      <c r="AY34" s="206"/>
    </row>
    <row r="35" spans="1:51">
      <c r="A35" s="218">
        <f t="shared" si="0"/>
        <v>24</v>
      </c>
      <c r="B35" s="219"/>
      <c r="C35" s="48"/>
      <c r="D35" s="42"/>
      <c r="E35" s="42"/>
      <c r="F35" s="42"/>
      <c r="G35" s="42"/>
      <c r="H35" s="42"/>
      <c r="I35" s="42"/>
      <c r="J35" s="42"/>
      <c r="K35" s="44"/>
      <c r="L35" s="48"/>
      <c r="M35" s="42"/>
      <c r="N35" s="42"/>
      <c r="O35" s="42"/>
      <c r="P35" s="42"/>
      <c r="Q35" s="42"/>
      <c r="R35" s="42"/>
      <c r="S35" s="44"/>
      <c r="T35" s="207"/>
      <c r="U35" s="208"/>
      <c r="V35" s="209"/>
      <c r="W35" s="202"/>
      <c r="X35" s="204"/>
      <c r="Y35" s="202"/>
      <c r="Z35" s="204"/>
      <c r="AA35" s="220"/>
      <c r="AB35" s="221"/>
      <c r="AC35" s="45"/>
      <c r="AD35" s="23"/>
      <c r="AE35" s="23"/>
      <c r="AF35" s="23"/>
      <c r="AG35" s="50"/>
      <c r="AH35" s="220"/>
      <c r="AI35" s="221"/>
      <c r="AJ35" s="223"/>
      <c r="AK35" s="224"/>
      <c r="AL35" s="220"/>
      <c r="AM35" s="222"/>
      <c r="AN35" s="221"/>
      <c r="AO35" s="205"/>
      <c r="AP35" s="205"/>
      <c r="AQ35" s="205"/>
      <c r="AR35" s="205"/>
      <c r="AS35" s="205"/>
      <c r="AT35" s="205"/>
      <c r="AU35" s="205"/>
      <c r="AV35" s="205"/>
      <c r="AW35" s="205"/>
      <c r="AX35" s="205"/>
      <c r="AY35" s="206"/>
    </row>
    <row r="36" spans="1:51">
      <c r="A36" s="218">
        <f t="shared" si="0"/>
        <v>25</v>
      </c>
      <c r="B36" s="219"/>
      <c r="C36" s="48"/>
      <c r="D36" s="42"/>
      <c r="E36" s="42"/>
      <c r="F36" s="42"/>
      <c r="G36" s="42"/>
      <c r="H36" s="42"/>
      <c r="I36" s="42"/>
      <c r="J36" s="42"/>
      <c r="K36" s="44"/>
      <c r="L36" s="48"/>
      <c r="M36" s="42"/>
      <c r="N36" s="42"/>
      <c r="O36" s="42"/>
      <c r="P36" s="42"/>
      <c r="Q36" s="42"/>
      <c r="R36" s="42"/>
      <c r="S36" s="44"/>
      <c r="T36" s="207"/>
      <c r="U36" s="208"/>
      <c r="V36" s="209"/>
      <c r="W36" s="202"/>
      <c r="X36" s="204"/>
      <c r="Y36" s="220"/>
      <c r="Z36" s="221"/>
      <c r="AA36" s="215"/>
      <c r="AB36" s="216"/>
      <c r="AC36" s="46"/>
      <c r="AD36" s="24"/>
      <c r="AE36" s="24"/>
      <c r="AF36" s="24"/>
      <c r="AG36" s="51"/>
      <c r="AH36" s="215"/>
      <c r="AI36" s="216"/>
      <c r="AJ36" s="212"/>
      <c r="AK36" s="213"/>
      <c r="AL36" s="215"/>
      <c r="AM36" s="217"/>
      <c r="AN36" s="216"/>
      <c r="AO36" s="205"/>
      <c r="AP36" s="205"/>
      <c r="AQ36" s="205"/>
      <c r="AR36" s="205"/>
      <c r="AS36" s="205"/>
      <c r="AT36" s="205"/>
      <c r="AU36" s="205"/>
      <c r="AV36" s="205"/>
      <c r="AW36" s="205"/>
      <c r="AX36" s="205"/>
      <c r="AY36" s="206"/>
    </row>
    <row r="37" spans="1:51">
      <c r="A37" s="202">
        <f t="shared" si="0"/>
        <v>26</v>
      </c>
      <c r="B37" s="204"/>
      <c r="C37" s="48"/>
      <c r="D37" s="42"/>
      <c r="E37" s="42"/>
      <c r="F37" s="42"/>
      <c r="G37" s="42"/>
      <c r="H37" s="42"/>
      <c r="I37" s="42"/>
      <c r="J37" s="42"/>
      <c r="K37" s="44"/>
      <c r="L37" s="48"/>
      <c r="M37" s="42"/>
      <c r="N37" s="42"/>
      <c r="O37" s="42"/>
      <c r="P37" s="42"/>
      <c r="Q37" s="42"/>
      <c r="R37" s="42"/>
      <c r="S37" s="44"/>
      <c r="T37" s="207"/>
      <c r="U37" s="208"/>
      <c r="V37" s="209"/>
      <c r="W37" s="202"/>
      <c r="X37" s="204"/>
      <c r="Y37" s="220"/>
      <c r="Z37" s="221"/>
      <c r="AA37" s="215"/>
      <c r="AB37" s="216"/>
      <c r="AC37" s="46"/>
      <c r="AD37" s="24"/>
      <c r="AE37" s="24"/>
      <c r="AF37" s="24"/>
      <c r="AG37" s="51"/>
      <c r="AH37" s="215"/>
      <c r="AI37" s="216"/>
      <c r="AJ37" s="212"/>
      <c r="AK37" s="213"/>
      <c r="AL37" s="215"/>
      <c r="AM37" s="217"/>
      <c r="AN37" s="216"/>
      <c r="AO37" s="205"/>
      <c r="AP37" s="205"/>
      <c r="AQ37" s="205"/>
      <c r="AR37" s="205"/>
      <c r="AS37" s="205"/>
      <c r="AT37" s="205"/>
      <c r="AU37" s="205"/>
      <c r="AV37" s="205"/>
      <c r="AW37" s="205"/>
      <c r="AX37" s="205"/>
      <c r="AY37" s="206"/>
    </row>
    <row r="38" spans="1:51">
      <c r="A38" s="218">
        <f t="shared" si="0"/>
        <v>27</v>
      </c>
      <c r="B38" s="219"/>
      <c r="C38" s="48"/>
      <c r="D38" s="42"/>
      <c r="E38" s="42"/>
      <c r="F38" s="42"/>
      <c r="G38" s="42"/>
      <c r="H38" s="42"/>
      <c r="I38" s="42"/>
      <c r="J38" s="42"/>
      <c r="K38" s="44"/>
      <c r="L38" s="48"/>
      <c r="M38" s="42"/>
      <c r="N38" s="42"/>
      <c r="O38" s="42"/>
      <c r="P38" s="42"/>
      <c r="Q38" s="42"/>
      <c r="R38" s="42"/>
      <c r="S38" s="44"/>
      <c r="T38" s="207"/>
      <c r="U38" s="208"/>
      <c r="V38" s="209"/>
      <c r="W38" s="202"/>
      <c r="X38" s="204"/>
      <c r="Y38" s="202"/>
      <c r="Z38" s="204"/>
      <c r="AA38" s="215"/>
      <c r="AB38" s="216"/>
      <c r="AC38" s="46"/>
      <c r="AD38" s="24"/>
      <c r="AE38" s="24"/>
      <c r="AF38" s="24"/>
      <c r="AG38" s="51"/>
      <c r="AH38" s="215"/>
      <c r="AI38" s="216"/>
      <c r="AJ38" s="212"/>
      <c r="AK38" s="213"/>
      <c r="AL38" s="215"/>
      <c r="AM38" s="217"/>
      <c r="AN38" s="216"/>
      <c r="AO38" s="205"/>
      <c r="AP38" s="205"/>
      <c r="AQ38" s="205"/>
      <c r="AR38" s="205"/>
      <c r="AS38" s="205"/>
      <c r="AT38" s="205"/>
      <c r="AU38" s="205"/>
      <c r="AV38" s="205"/>
      <c r="AW38" s="205"/>
      <c r="AX38" s="205"/>
      <c r="AY38" s="206"/>
    </row>
    <row r="39" spans="1:51">
      <c r="A39" s="202">
        <f t="shared" si="0"/>
        <v>28</v>
      </c>
      <c r="B39" s="204"/>
      <c r="C39" s="48"/>
      <c r="D39" s="42"/>
      <c r="E39" s="42"/>
      <c r="F39" s="42"/>
      <c r="G39" s="42"/>
      <c r="H39" s="42"/>
      <c r="I39" s="42"/>
      <c r="J39" s="42"/>
      <c r="K39" s="44"/>
      <c r="L39" s="48"/>
      <c r="M39" s="42"/>
      <c r="N39" s="42"/>
      <c r="O39" s="42"/>
      <c r="P39" s="42"/>
      <c r="Q39" s="42"/>
      <c r="R39" s="42"/>
      <c r="S39" s="44"/>
      <c r="T39" s="207"/>
      <c r="U39" s="208"/>
      <c r="V39" s="209"/>
      <c r="W39" s="220"/>
      <c r="X39" s="221"/>
      <c r="Y39" s="220"/>
      <c r="Z39" s="221"/>
      <c r="AA39" s="215"/>
      <c r="AB39" s="216"/>
      <c r="AC39" s="46"/>
      <c r="AD39" s="24"/>
      <c r="AE39" s="24"/>
      <c r="AF39" s="24"/>
      <c r="AG39" s="51"/>
      <c r="AH39" s="215"/>
      <c r="AI39" s="216"/>
      <c r="AJ39" s="212"/>
      <c r="AK39" s="213"/>
      <c r="AL39" s="215"/>
      <c r="AM39" s="217"/>
      <c r="AN39" s="216"/>
      <c r="AO39" s="205"/>
      <c r="AP39" s="205"/>
      <c r="AQ39" s="205"/>
      <c r="AR39" s="205"/>
      <c r="AS39" s="205"/>
      <c r="AT39" s="205"/>
      <c r="AU39" s="205"/>
      <c r="AV39" s="205"/>
      <c r="AW39" s="205"/>
      <c r="AX39" s="205"/>
      <c r="AY39" s="206"/>
    </row>
    <row r="40" spans="1:51">
      <c r="A40" s="202">
        <f t="shared" si="0"/>
        <v>29</v>
      </c>
      <c r="B40" s="204"/>
      <c r="C40" s="48"/>
      <c r="D40" s="42"/>
      <c r="E40" s="42"/>
      <c r="F40" s="42"/>
      <c r="G40" s="42"/>
      <c r="H40" s="42"/>
      <c r="I40" s="42"/>
      <c r="J40" s="42"/>
      <c r="K40" s="44"/>
      <c r="L40" s="48"/>
      <c r="M40" s="42"/>
      <c r="N40" s="42"/>
      <c r="O40" s="42"/>
      <c r="P40" s="42"/>
      <c r="Q40" s="42"/>
      <c r="R40" s="42"/>
      <c r="S40" s="44"/>
      <c r="T40" s="207"/>
      <c r="U40" s="208"/>
      <c r="V40" s="209"/>
      <c r="W40" s="220"/>
      <c r="X40" s="221"/>
      <c r="Y40" s="220"/>
      <c r="Z40" s="221"/>
      <c r="AA40" s="215"/>
      <c r="AB40" s="216"/>
      <c r="AC40" s="46"/>
      <c r="AD40" s="24"/>
      <c r="AE40" s="24"/>
      <c r="AF40" s="24"/>
      <c r="AG40" s="51"/>
      <c r="AH40" s="215"/>
      <c r="AI40" s="216"/>
      <c r="AJ40" s="212"/>
      <c r="AK40" s="213"/>
      <c r="AL40" s="215"/>
      <c r="AM40" s="217"/>
      <c r="AN40" s="216"/>
      <c r="AO40" s="205"/>
      <c r="AP40" s="205"/>
      <c r="AQ40" s="205"/>
      <c r="AR40" s="205"/>
      <c r="AS40" s="205"/>
      <c r="AT40" s="205"/>
      <c r="AU40" s="205"/>
      <c r="AV40" s="205"/>
      <c r="AW40" s="205"/>
      <c r="AX40" s="205"/>
      <c r="AY40" s="206"/>
    </row>
    <row r="41" spans="1:51">
      <c r="A41" s="218">
        <f t="shared" si="0"/>
        <v>30</v>
      </c>
      <c r="B41" s="219"/>
      <c r="C41" s="48"/>
      <c r="D41" s="42"/>
      <c r="E41" s="42"/>
      <c r="F41" s="42"/>
      <c r="G41" s="42"/>
      <c r="H41" s="42"/>
      <c r="I41" s="42"/>
      <c r="J41" s="42"/>
      <c r="K41" s="44"/>
      <c r="L41" s="48"/>
      <c r="M41" s="42"/>
      <c r="N41" s="42"/>
      <c r="O41" s="42"/>
      <c r="P41" s="42"/>
      <c r="Q41" s="42"/>
      <c r="R41" s="42"/>
      <c r="S41" s="44"/>
      <c r="T41" s="207"/>
      <c r="U41" s="208"/>
      <c r="V41" s="209"/>
      <c r="W41" s="220"/>
      <c r="X41" s="221"/>
      <c r="Y41" s="220"/>
      <c r="Z41" s="221"/>
      <c r="AA41" s="215"/>
      <c r="AB41" s="216"/>
      <c r="AC41" s="46"/>
      <c r="AD41" s="24"/>
      <c r="AE41" s="24"/>
      <c r="AF41" s="24"/>
      <c r="AG41" s="51"/>
      <c r="AH41" s="215"/>
      <c r="AI41" s="216"/>
      <c r="AJ41" s="212"/>
      <c r="AK41" s="213"/>
      <c r="AL41" s="215"/>
      <c r="AM41" s="217"/>
      <c r="AN41" s="216"/>
      <c r="AO41" s="205"/>
      <c r="AP41" s="205"/>
      <c r="AQ41" s="205"/>
      <c r="AR41" s="205"/>
      <c r="AS41" s="205"/>
      <c r="AT41" s="205"/>
      <c r="AU41" s="205"/>
      <c r="AV41" s="205"/>
      <c r="AW41" s="205"/>
      <c r="AX41" s="205"/>
      <c r="AY41" s="206"/>
    </row>
    <row r="42" spans="1:51">
      <c r="A42" s="202">
        <f t="shared" si="0"/>
        <v>31</v>
      </c>
      <c r="B42" s="204"/>
      <c r="C42" s="48"/>
      <c r="D42" s="42"/>
      <c r="E42" s="42"/>
      <c r="F42" s="42"/>
      <c r="G42" s="42"/>
      <c r="H42" s="42"/>
      <c r="I42" s="42"/>
      <c r="J42" s="42"/>
      <c r="K42" s="44"/>
      <c r="L42" s="48"/>
      <c r="M42" s="42"/>
      <c r="N42" s="42"/>
      <c r="O42" s="42"/>
      <c r="P42" s="42"/>
      <c r="Q42" s="42"/>
      <c r="R42" s="42"/>
      <c r="S42" s="44"/>
      <c r="T42" s="207"/>
      <c r="U42" s="208"/>
      <c r="V42" s="209"/>
      <c r="W42" s="220"/>
      <c r="X42" s="221"/>
      <c r="Y42" s="220"/>
      <c r="Z42" s="221"/>
      <c r="AA42" s="215"/>
      <c r="AB42" s="216"/>
      <c r="AC42" s="46"/>
      <c r="AD42" s="24"/>
      <c r="AE42" s="24"/>
      <c r="AF42" s="24"/>
      <c r="AG42" s="51"/>
      <c r="AH42" s="215"/>
      <c r="AI42" s="216"/>
      <c r="AJ42" s="212"/>
      <c r="AK42" s="213"/>
      <c r="AL42" s="215"/>
      <c r="AM42" s="217"/>
      <c r="AN42" s="216"/>
      <c r="AO42" s="205"/>
      <c r="AP42" s="205"/>
      <c r="AQ42" s="205"/>
      <c r="AR42" s="205"/>
      <c r="AS42" s="205"/>
      <c r="AT42" s="205"/>
      <c r="AU42" s="205"/>
      <c r="AV42" s="205"/>
      <c r="AW42" s="205"/>
      <c r="AX42" s="205"/>
      <c r="AY42" s="206"/>
    </row>
    <row r="43" spans="1:51">
      <c r="A43" s="202">
        <f t="shared" si="0"/>
        <v>32</v>
      </c>
      <c r="B43" s="204"/>
      <c r="C43" s="48"/>
      <c r="D43" s="42"/>
      <c r="E43" s="42"/>
      <c r="F43" s="42"/>
      <c r="G43" s="42"/>
      <c r="H43" s="42"/>
      <c r="I43" s="42"/>
      <c r="J43" s="42"/>
      <c r="K43" s="44"/>
      <c r="L43" s="48"/>
      <c r="M43" s="42"/>
      <c r="N43" s="42"/>
      <c r="O43" s="42"/>
      <c r="P43" s="42"/>
      <c r="Q43" s="42"/>
      <c r="R43" s="42"/>
      <c r="S43" s="44"/>
      <c r="T43" s="207"/>
      <c r="U43" s="208"/>
      <c r="V43" s="209"/>
      <c r="W43" s="220"/>
      <c r="X43" s="221"/>
      <c r="Y43" s="220"/>
      <c r="Z43" s="221"/>
      <c r="AA43" s="215"/>
      <c r="AB43" s="216"/>
      <c r="AC43" s="46"/>
      <c r="AD43" s="24"/>
      <c r="AE43" s="24"/>
      <c r="AF43" s="24"/>
      <c r="AG43" s="51"/>
      <c r="AH43" s="215"/>
      <c r="AI43" s="216"/>
      <c r="AJ43" s="212"/>
      <c r="AK43" s="213"/>
      <c r="AL43" s="215"/>
      <c r="AM43" s="217"/>
      <c r="AN43" s="216"/>
      <c r="AO43" s="205"/>
      <c r="AP43" s="205"/>
      <c r="AQ43" s="205"/>
      <c r="AR43" s="205"/>
      <c r="AS43" s="205"/>
      <c r="AT43" s="205"/>
      <c r="AU43" s="205"/>
      <c r="AV43" s="205"/>
      <c r="AW43" s="205"/>
      <c r="AX43" s="205"/>
      <c r="AY43" s="206"/>
    </row>
    <row r="44" spans="1:51">
      <c r="A44" s="202">
        <f t="shared" si="0"/>
        <v>33</v>
      </c>
      <c r="B44" s="204"/>
      <c r="C44" s="48"/>
      <c r="D44" s="42"/>
      <c r="E44" s="42"/>
      <c r="F44" s="42"/>
      <c r="G44" s="42"/>
      <c r="H44" s="42"/>
      <c r="I44" s="42"/>
      <c r="J44" s="42"/>
      <c r="K44" s="44"/>
      <c r="L44" s="48"/>
      <c r="M44" s="42"/>
      <c r="N44" s="42"/>
      <c r="O44" s="42"/>
      <c r="P44" s="42"/>
      <c r="Q44" s="42"/>
      <c r="R44" s="42"/>
      <c r="S44" s="44"/>
      <c r="T44" s="207"/>
      <c r="U44" s="208"/>
      <c r="V44" s="209"/>
      <c r="W44" s="220"/>
      <c r="X44" s="221"/>
      <c r="Y44" s="220"/>
      <c r="Z44" s="221"/>
      <c r="AA44" s="215"/>
      <c r="AB44" s="216"/>
      <c r="AC44" s="46"/>
      <c r="AD44" s="24"/>
      <c r="AE44" s="24"/>
      <c r="AF44" s="24"/>
      <c r="AG44" s="51"/>
      <c r="AH44" s="215"/>
      <c r="AI44" s="216"/>
      <c r="AJ44" s="212"/>
      <c r="AK44" s="213"/>
      <c r="AL44" s="215"/>
      <c r="AM44" s="217"/>
      <c r="AN44" s="216"/>
      <c r="AO44" s="205"/>
      <c r="AP44" s="205"/>
      <c r="AQ44" s="205"/>
      <c r="AR44" s="205"/>
      <c r="AS44" s="205"/>
      <c r="AT44" s="205"/>
      <c r="AU44" s="205"/>
      <c r="AV44" s="205"/>
      <c r="AW44" s="205"/>
      <c r="AX44" s="205"/>
      <c r="AY44" s="206"/>
    </row>
    <row r="45" spans="1:51">
      <c r="A45" s="202">
        <f t="shared" si="0"/>
        <v>34</v>
      </c>
      <c r="B45" s="204"/>
      <c r="C45" s="48"/>
      <c r="D45" s="42"/>
      <c r="E45" s="42"/>
      <c r="F45" s="42"/>
      <c r="G45" s="42"/>
      <c r="H45" s="42"/>
      <c r="I45" s="42"/>
      <c r="J45" s="42"/>
      <c r="K45" s="44"/>
      <c r="L45" s="48"/>
      <c r="M45" s="42"/>
      <c r="N45" s="42"/>
      <c r="O45" s="42"/>
      <c r="P45" s="42"/>
      <c r="Q45" s="42"/>
      <c r="R45" s="42"/>
      <c r="S45" s="44"/>
      <c r="T45" s="207"/>
      <c r="U45" s="208"/>
      <c r="V45" s="209"/>
      <c r="W45" s="220"/>
      <c r="X45" s="221"/>
      <c r="Y45" s="215"/>
      <c r="Z45" s="216"/>
      <c r="AA45" s="215"/>
      <c r="AB45" s="216"/>
      <c r="AC45" s="46"/>
      <c r="AD45" s="24"/>
      <c r="AE45" s="24"/>
      <c r="AF45" s="24"/>
      <c r="AG45" s="51"/>
      <c r="AH45" s="215"/>
      <c r="AI45" s="216"/>
      <c r="AJ45" s="212"/>
      <c r="AK45" s="213"/>
      <c r="AL45" s="215"/>
      <c r="AM45" s="217"/>
      <c r="AN45" s="216"/>
      <c r="AO45" s="205"/>
      <c r="AP45" s="205"/>
      <c r="AQ45" s="205"/>
      <c r="AR45" s="205"/>
      <c r="AS45" s="205"/>
      <c r="AT45" s="205"/>
      <c r="AU45" s="205"/>
      <c r="AV45" s="205"/>
      <c r="AW45" s="205"/>
      <c r="AX45" s="205"/>
      <c r="AY45" s="206"/>
    </row>
    <row r="46" spans="1:51">
      <c r="A46" s="210">
        <f t="shared" si="0"/>
        <v>35</v>
      </c>
      <c r="B46" s="211"/>
      <c r="C46" s="48"/>
      <c r="D46" s="42"/>
      <c r="E46" s="42"/>
      <c r="F46" s="42"/>
      <c r="G46" s="42"/>
      <c r="H46" s="42"/>
      <c r="I46" s="42"/>
      <c r="J46" s="42"/>
      <c r="K46" s="44"/>
      <c r="L46" s="48"/>
      <c r="M46" s="42"/>
      <c r="N46" s="42"/>
      <c r="O46" s="42"/>
      <c r="P46" s="42"/>
      <c r="Q46" s="42"/>
      <c r="R46" s="42"/>
      <c r="S46" s="44"/>
      <c r="T46" s="207"/>
      <c r="U46" s="208"/>
      <c r="V46" s="209"/>
      <c r="W46" s="220"/>
      <c r="X46" s="221"/>
      <c r="Y46" s="225"/>
      <c r="Z46" s="226"/>
      <c r="AA46" s="225"/>
      <c r="AB46" s="226"/>
      <c r="AC46" s="43"/>
      <c r="AD46" s="10"/>
      <c r="AE46" s="10"/>
      <c r="AF46" s="10"/>
      <c r="AG46" s="52"/>
      <c r="AH46" s="225"/>
      <c r="AI46" s="226"/>
      <c r="AJ46" s="227"/>
      <c r="AK46" s="228"/>
      <c r="AL46" s="225"/>
      <c r="AM46" s="229"/>
      <c r="AN46" s="226"/>
      <c r="AO46" s="230"/>
      <c r="AP46" s="230"/>
      <c r="AQ46" s="230"/>
      <c r="AR46" s="230"/>
      <c r="AS46" s="230"/>
      <c r="AT46" s="230"/>
      <c r="AU46" s="230"/>
      <c r="AV46" s="230"/>
      <c r="AW46" s="230"/>
      <c r="AX46" s="230"/>
      <c r="AY46" s="231"/>
    </row>
    <row r="47" spans="1:51">
      <c r="A47" s="210">
        <f t="shared" si="0"/>
        <v>36</v>
      </c>
      <c r="B47" s="211"/>
      <c r="C47" s="48"/>
      <c r="D47" s="42"/>
      <c r="E47" s="42"/>
      <c r="F47" s="42"/>
      <c r="G47" s="42"/>
      <c r="H47" s="42"/>
      <c r="I47" s="42"/>
      <c r="J47" s="42"/>
      <c r="K47" s="44"/>
      <c r="L47" s="48"/>
      <c r="M47" s="42"/>
      <c r="N47" s="42"/>
      <c r="O47" s="42"/>
      <c r="P47" s="42"/>
      <c r="Q47" s="42"/>
      <c r="R47" s="42"/>
      <c r="S47" s="44"/>
      <c r="T47" s="207"/>
      <c r="U47" s="208"/>
      <c r="V47" s="209"/>
      <c r="W47" s="220"/>
      <c r="X47" s="221"/>
      <c r="Y47" s="225"/>
      <c r="Z47" s="226"/>
      <c r="AA47" s="225"/>
      <c r="AB47" s="226"/>
      <c r="AC47" s="43"/>
      <c r="AD47" s="10"/>
      <c r="AE47" s="10"/>
      <c r="AF47" s="10"/>
      <c r="AG47" s="52"/>
      <c r="AH47" s="225"/>
      <c r="AI47" s="226"/>
      <c r="AJ47" s="227"/>
      <c r="AK47" s="228"/>
      <c r="AL47" s="225"/>
      <c r="AM47" s="229"/>
      <c r="AN47" s="226"/>
      <c r="AO47" s="230"/>
      <c r="AP47" s="230"/>
      <c r="AQ47" s="230"/>
      <c r="AR47" s="230"/>
      <c r="AS47" s="230"/>
      <c r="AT47" s="230"/>
      <c r="AU47" s="230"/>
      <c r="AV47" s="230"/>
      <c r="AW47" s="230"/>
      <c r="AX47" s="230"/>
      <c r="AY47" s="231"/>
    </row>
    <row r="48" spans="1:51">
      <c r="A48" s="210">
        <f t="shared" si="0"/>
        <v>37</v>
      </c>
      <c r="B48" s="211"/>
      <c r="C48" s="48"/>
      <c r="D48" s="42"/>
      <c r="E48" s="42"/>
      <c r="F48" s="42"/>
      <c r="G48" s="42"/>
      <c r="H48" s="42"/>
      <c r="I48" s="42"/>
      <c r="J48" s="42"/>
      <c r="K48" s="44"/>
      <c r="L48" s="48"/>
      <c r="M48" s="42"/>
      <c r="N48" s="42"/>
      <c r="O48" s="42"/>
      <c r="P48" s="42"/>
      <c r="Q48" s="42"/>
      <c r="R48" s="42"/>
      <c r="S48" s="44"/>
      <c r="T48" s="207"/>
      <c r="U48" s="208"/>
      <c r="V48" s="209"/>
      <c r="W48" s="220"/>
      <c r="X48" s="221"/>
      <c r="Y48" s="225"/>
      <c r="Z48" s="226"/>
      <c r="AA48" s="225"/>
      <c r="AB48" s="226"/>
      <c r="AC48" s="43"/>
      <c r="AD48" s="10"/>
      <c r="AE48" s="10"/>
      <c r="AF48" s="10"/>
      <c r="AG48" s="52"/>
      <c r="AH48" s="225"/>
      <c r="AI48" s="226"/>
      <c r="AJ48" s="227"/>
      <c r="AK48" s="228"/>
      <c r="AL48" s="225"/>
      <c r="AM48" s="229"/>
      <c r="AN48" s="226"/>
      <c r="AO48" s="230"/>
      <c r="AP48" s="230"/>
      <c r="AQ48" s="230"/>
      <c r="AR48" s="230"/>
      <c r="AS48" s="230"/>
      <c r="AT48" s="230"/>
      <c r="AU48" s="230"/>
      <c r="AV48" s="230"/>
      <c r="AW48" s="230"/>
      <c r="AX48" s="230"/>
      <c r="AY48" s="231"/>
    </row>
    <row r="49" spans="1:51">
      <c r="A49" s="210">
        <f t="shared" si="0"/>
        <v>38</v>
      </c>
      <c r="B49" s="211"/>
      <c r="C49" s="48"/>
      <c r="D49" s="42"/>
      <c r="E49" s="42"/>
      <c r="F49" s="42"/>
      <c r="G49" s="42"/>
      <c r="H49" s="42"/>
      <c r="I49" s="42"/>
      <c r="J49" s="42"/>
      <c r="K49" s="44"/>
      <c r="L49" s="48"/>
      <c r="M49" s="42"/>
      <c r="N49" s="42"/>
      <c r="O49" s="42"/>
      <c r="P49" s="42"/>
      <c r="Q49" s="42"/>
      <c r="R49" s="42"/>
      <c r="S49" s="44"/>
      <c r="T49" s="207"/>
      <c r="U49" s="208"/>
      <c r="V49" s="209"/>
      <c r="W49" s="220"/>
      <c r="X49" s="221"/>
      <c r="Y49" s="225"/>
      <c r="Z49" s="226"/>
      <c r="AA49" s="225"/>
      <c r="AB49" s="226"/>
      <c r="AC49" s="43"/>
      <c r="AD49" s="10"/>
      <c r="AE49" s="10"/>
      <c r="AF49" s="10"/>
      <c r="AG49" s="52"/>
      <c r="AH49" s="225"/>
      <c r="AI49" s="226"/>
      <c r="AJ49" s="227"/>
      <c r="AK49" s="228"/>
      <c r="AL49" s="225"/>
      <c r="AM49" s="229"/>
      <c r="AN49" s="226"/>
      <c r="AO49" s="230"/>
      <c r="AP49" s="230"/>
      <c r="AQ49" s="230"/>
      <c r="AR49" s="230"/>
      <c r="AS49" s="230"/>
      <c r="AT49" s="230"/>
      <c r="AU49" s="230"/>
      <c r="AV49" s="230"/>
      <c r="AW49" s="230"/>
      <c r="AX49" s="230"/>
      <c r="AY49" s="231"/>
    </row>
    <row r="50" spans="1:51">
      <c r="A50" s="210">
        <f t="shared" si="0"/>
        <v>39</v>
      </c>
      <c r="B50" s="211"/>
      <c r="C50" s="48"/>
      <c r="D50" s="42"/>
      <c r="E50" s="42"/>
      <c r="F50" s="42"/>
      <c r="G50" s="42"/>
      <c r="H50" s="42"/>
      <c r="I50" s="42"/>
      <c r="J50" s="42"/>
      <c r="K50" s="44"/>
      <c r="L50" s="48"/>
      <c r="M50" s="42"/>
      <c r="N50" s="42"/>
      <c r="O50" s="42"/>
      <c r="P50" s="42"/>
      <c r="Q50" s="42"/>
      <c r="R50" s="42"/>
      <c r="S50" s="44"/>
      <c r="T50" s="207"/>
      <c r="U50" s="208"/>
      <c r="V50" s="209"/>
      <c r="W50" s="220"/>
      <c r="X50" s="221"/>
      <c r="Y50" s="225"/>
      <c r="Z50" s="226"/>
      <c r="AA50" s="225"/>
      <c r="AB50" s="226"/>
      <c r="AC50" s="43"/>
      <c r="AD50" s="10"/>
      <c r="AE50" s="10"/>
      <c r="AF50" s="10"/>
      <c r="AG50" s="52"/>
      <c r="AH50" s="225"/>
      <c r="AI50" s="226"/>
      <c r="AJ50" s="227"/>
      <c r="AK50" s="228"/>
      <c r="AL50" s="225"/>
      <c r="AM50" s="229"/>
      <c r="AN50" s="226"/>
      <c r="AO50" s="230"/>
      <c r="AP50" s="230"/>
      <c r="AQ50" s="230"/>
      <c r="AR50" s="230"/>
      <c r="AS50" s="230"/>
      <c r="AT50" s="230"/>
      <c r="AU50" s="230"/>
      <c r="AV50" s="230"/>
      <c r="AW50" s="230"/>
      <c r="AX50" s="230"/>
      <c r="AY50" s="231"/>
    </row>
    <row r="51" spans="1:51">
      <c r="A51" s="210">
        <f t="shared" si="0"/>
        <v>40</v>
      </c>
      <c r="B51" s="211"/>
      <c r="C51" s="48"/>
      <c r="D51" s="42"/>
      <c r="E51" s="42"/>
      <c r="F51" s="42"/>
      <c r="G51" s="42"/>
      <c r="H51" s="42"/>
      <c r="I51" s="42"/>
      <c r="J51" s="42"/>
      <c r="K51" s="44"/>
      <c r="L51" s="48"/>
      <c r="M51" s="42"/>
      <c r="N51" s="42"/>
      <c r="O51" s="42"/>
      <c r="P51" s="42"/>
      <c r="Q51" s="42"/>
      <c r="R51" s="42"/>
      <c r="S51" s="44"/>
      <c r="T51" s="207"/>
      <c r="U51" s="208"/>
      <c r="V51" s="209"/>
      <c r="W51" s="220"/>
      <c r="X51" s="221"/>
      <c r="Y51" s="225"/>
      <c r="Z51" s="226"/>
      <c r="AA51" s="225"/>
      <c r="AB51" s="226"/>
      <c r="AC51" s="43"/>
      <c r="AD51" s="10"/>
      <c r="AE51" s="10"/>
      <c r="AF51" s="10"/>
      <c r="AG51" s="52"/>
      <c r="AH51" s="225"/>
      <c r="AI51" s="226"/>
      <c r="AJ51" s="227"/>
      <c r="AK51" s="228"/>
      <c r="AL51" s="225"/>
      <c r="AM51" s="229"/>
      <c r="AN51" s="226"/>
      <c r="AO51" s="230"/>
      <c r="AP51" s="230"/>
      <c r="AQ51" s="230"/>
      <c r="AR51" s="230"/>
      <c r="AS51" s="230"/>
      <c r="AT51" s="230"/>
      <c r="AU51" s="230"/>
      <c r="AV51" s="230"/>
      <c r="AW51" s="230"/>
      <c r="AX51" s="230"/>
      <c r="AY51" s="231"/>
    </row>
    <row r="52" spans="1:51">
      <c r="A52" s="210">
        <f t="shared" si="0"/>
        <v>41</v>
      </c>
      <c r="B52" s="211"/>
      <c r="C52" s="48"/>
      <c r="D52" s="42"/>
      <c r="E52" s="42"/>
      <c r="F52" s="42"/>
      <c r="G52" s="42"/>
      <c r="H52" s="42"/>
      <c r="I52" s="42"/>
      <c r="J52" s="42"/>
      <c r="K52" s="44"/>
      <c r="L52" s="48"/>
      <c r="M52" s="42"/>
      <c r="N52" s="42"/>
      <c r="O52" s="42"/>
      <c r="P52" s="42"/>
      <c r="Q52" s="42"/>
      <c r="R52" s="42"/>
      <c r="S52" s="44"/>
      <c r="T52" s="207"/>
      <c r="U52" s="208"/>
      <c r="V52" s="209"/>
      <c r="W52" s="225"/>
      <c r="X52" s="226"/>
      <c r="Y52" s="225"/>
      <c r="Z52" s="226"/>
      <c r="AA52" s="225"/>
      <c r="AB52" s="226"/>
      <c r="AC52" s="43"/>
      <c r="AD52" s="10"/>
      <c r="AE52" s="10"/>
      <c r="AF52" s="10"/>
      <c r="AG52" s="52"/>
      <c r="AH52" s="225"/>
      <c r="AI52" s="226"/>
      <c r="AJ52" s="227"/>
      <c r="AK52" s="228"/>
      <c r="AL52" s="225"/>
      <c r="AM52" s="229"/>
      <c r="AN52" s="226"/>
      <c r="AO52" s="230"/>
      <c r="AP52" s="230"/>
      <c r="AQ52" s="230"/>
      <c r="AR52" s="230"/>
      <c r="AS52" s="230"/>
      <c r="AT52" s="230"/>
      <c r="AU52" s="230"/>
      <c r="AV52" s="230"/>
      <c r="AW52" s="230"/>
      <c r="AX52" s="230"/>
      <c r="AY52" s="231"/>
    </row>
    <row r="53" spans="1:51">
      <c r="A53" s="210">
        <f t="shared" si="0"/>
        <v>42</v>
      </c>
      <c r="B53" s="211"/>
      <c r="C53" s="48"/>
      <c r="D53" s="42"/>
      <c r="E53" s="42"/>
      <c r="F53" s="42"/>
      <c r="G53" s="42"/>
      <c r="H53" s="42"/>
      <c r="I53" s="42"/>
      <c r="J53" s="42"/>
      <c r="K53" s="44"/>
      <c r="L53" s="48"/>
      <c r="M53" s="42"/>
      <c r="N53" s="42"/>
      <c r="O53" s="42"/>
      <c r="P53" s="42"/>
      <c r="Q53" s="42"/>
      <c r="R53" s="42"/>
      <c r="S53" s="44"/>
      <c r="T53" s="207"/>
      <c r="U53" s="208"/>
      <c r="V53" s="209"/>
      <c r="W53" s="225"/>
      <c r="X53" s="226"/>
      <c r="Y53" s="225"/>
      <c r="Z53" s="226"/>
      <c r="AA53" s="225"/>
      <c r="AB53" s="226"/>
      <c r="AC53" s="43"/>
      <c r="AD53" s="10"/>
      <c r="AE53" s="10"/>
      <c r="AF53" s="10"/>
      <c r="AG53" s="52"/>
      <c r="AH53" s="225"/>
      <c r="AI53" s="226"/>
      <c r="AJ53" s="227"/>
      <c r="AK53" s="228"/>
      <c r="AL53" s="225"/>
      <c r="AM53" s="229"/>
      <c r="AN53" s="226"/>
      <c r="AO53" s="230"/>
      <c r="AP53" s="230"/>
      <c r="AQ53" s="230"/>
      <c r="AR53" s="230"/>
      <c r="AS53" s="230"/>
      <c r="AT53" s="230"/>
      <c r="AU53" s="230"/>
      <c r="AV53" s="230"/>
      <c r="AW53" s="230"/>
      <c r="AX53" s="230"/>
      <c r="AY53" s="231"/>
    </row>
    <row r="54" spans="1:51">
      <c r="A54" s="210">
        <f t="shared" si="0"/>
        <v>43</v>
      </c>
      <c r="B54" s="211"/>
      <c r="C54" s="48"/>
      <c r="D54" s="42"/>
      <c r="E54" s="42"/>
      <c r="F54" s="42"/>
      <c r="G54" s="42"/>
      <c r="H54" s="42"/>
      <c r="I54" s="42"/>
      <c r="J54" s="42"/>
      <c r="K54" s="44"/>
      <c r="L54" s="48"/>
      <c r="M54" s="42"/>
      <c r="N54" s="42"/>
      <c r="O54" s="42"/>
      <c r="P54" s="42"/>
      <c r="Q54" s="42"/>
      <c r="R54" s="42"/>
      <c r="S54" s="44"/>
      <c r="T54" s="207"/>
      <c r="U54" s="208"/>
      <c r="V54" s="209"/>
      <c r="W54" s="225"/>
      <c r="X54" s="226"/>
      <c r="Y54" s="225"/>
      <c r="Z54" s="226"/>
      <c r="AA54" s="225"/>
      <c r="AB54" s="226"/>
      <c r="AC54" s="43"/>
      <c r="AD54" s="10"/>
      <c r="AE54" s="10"/>
      <c r="AF54" s="10"/>
      <c r="AG54" s="52"/>
      <c r="AH54" s="225"/>
      <c r="AI54" s="226"/>
      <c r="AJ54" s="227"/>
      <c r="AK54" s="228"/>
      <c r="AL54" s="225"/>
      <c r="AM54" s="229"/>
      <c r="AN54" s="226"/>
      <c r="AO54" s="230"/>
      <c r="AP54" s="230"/>
      <c r="AQ54" s="230"/>
      <c r="AR54" s="230"/>
      <c r="AS54" s="230"/>
      <c r="AT54" s="230"/>
      <c r="AU54" s="230"/>
      <c r="AV54" s="230"/>
      <c r="AW54" s="230"/>
      <c r="AX54" s="230"/>
      <c r="AY54" s="231"/>
    </row>
  </sheetData>
  <customSheetViews>
    <customSheetView guid="{450296EB-871F-4CF4-9810-E1086F54218B}" showPageBreaks="1" fitToPage="1" view="pageBreakPreview" topLeftCell="K150">
      <selection activeCell="CM198" sqref="CM198"/>
      <pageMargins left="0.70866141732283472" right="0.70866141732283472" top="0.74803149606299213" bottom="0.74803149606299213" header="0.31496062992125984" footer="0.31496062992125984"/>
      <pageSetup paperSize="9" scale="82" fitToHeight="0" orientation="landscape" horizontalDpi="4294967294" r:id="rId1"/>
    </customSheetView>
  </customSheetViews>
  <mergeCells count="455">
    <mergeCell ref="AJ54:AK54"/>
    <mergeCell ref="AL54:AN54"/>
    <mergeCell ref="AO54:AY54"/>
    <mergeCell ref="A54:B54"/>
    <mergeCell ref="T54:V54"/>
    <mergeCell ref="W54:X54"/>
    <mergeCell ref="Y54:Z54"/>
    <mergeCell ref="AA54:AB54"/>
    <mergeCell ref="AH54:AI54"/>
    <mergeCell ref="A53:B53"/>
    <mergeCell ref="T53:V53"/>
    <mergeCell ref="W53:X53"/>
    <mergeCell ref="Y53:Z53"/>
    <mergeCell ref="AA53:AB53"/>
    <mergeCell ref="AH53:AI53"/>
    <mergeCell ref="AJ53:AK53"/>
    <mergeCell ref="AL53:AN53"/>
    <mergeCell ref="AO53:AY53"/>
    <mergeCell ref="A52:B52"/>
    <mergeCell ref="T52:V52"/>
    <mergeCell ref="W52:X52"/>
    <mergeCell ref="Y52:Z52"/>
    <mergeCell ref="AA52:AB52"/>
    <mergeCell ref="AH52:AI52"/>
    <mergeCell ref="AJ52:AK52"/>
    <mergeCell ref="AL52:AN52"/>
    <mergeCell ref="AO52:AY52"/>
    <mergeCell ref="AJ50:AK50"/>
    <mergeCell ref="AL50:AN50"/>
    <mergeCell ref="AO50:AY50"/>
    <mergeCell ref="A51:B51"/>
    <mergeCell ref="T51:V51"/>
    <mergeCell ref="W51:X51"/>
    <mergeCell ref="Y51:Z51"/>
    <mergeCell ref="AA51:AB51"/>
    <mergeCell ref="AH51:AI51"/>
    <mergeCell ref="AJ51:AK51"/>
    <mergeCell ref="A50:B50"/>
    <mergeCell ref="T50:V50"/>
    <mergeCell ref="W50:X50"/>
    <mergeCell ref="Y50:Z50"/>
    <mergeCell ref="AA50:AB50"/>
    <mergeCell ref="AH50:AI50"/>
    <mergeCell ref="AL51:AN51"/>
    <mergeCell ref="AO51:AY51"/>
    <mergeCell ref="A49:B49"/>
    <mergeCell ref="T49:V49"/>
    <mergeCell ref="W49:X49"/>
    <mergeCell ref="Y49:Z49"/>
    <mergeCell ref="AA49:AB49"/>
    <mergeCell ref="AH49:AI49"/>
    <mergeCell ref="AJ49:AK49"/>
    <mergeCell ref="AL49:AN49"/>
    <mergeCell ref="AO49:AY49"/>
    <mergeCell ref="A48:B48"/>
    <mergeCell ref="T48:V48"/>
    <mergeCell ref="W48:X48"/>
    <mergeCell ref="Y48:Z48"/>
    <mergeCell ref="AA48:AB48"/>
    <mergeCell ref="AH48:AI48"/>
    <mergeCell ref="AJ48:AK48"/>
    <mergeCell ref="AL48:AN48"/>
    <mergeCell ref="AO48:AY48"/>
    <mergeCell ref="AJ46:AK46"/>
    <mergeCell ref="AL46:AN46"/>
    <mergeCell ref="AO46:AY46"/>
    <mergeCell ref="A47:B47"/>
    <mergeCell ref="T47:V47"/>
    <mergeCell ref="W47:X47"/>
    <mergeCell ref="Y47:Z47"/>
    <mergeCell ref="AA47:AB47"/>
    <mergeCell ref="AH47:AI47"/>
    <mergeCell ref="AJ47:AK47"/>
    <mergeCell ref="A46:B46"/>
    <mergeCell ref="T46:V46"/>
    <mergeCell ref="W46:X46"/>
    <mergeCell ref="Y46:Z46"/>
    <mergeCell ref="AA46:AB46"/>
    <mergeCell ref="AH46:AI46"/>
    <mergeCell ref="AL47:AN47"/>
    <mergeCell ref="AO47:AY47"/>
    <mergeCell ref="A45:B45"/>
    <mergeCell ref="T45:V45"/>
    <mergeCell ref="W45:X45"/>
    <mergeCell ref="Y45:Z45"/>
    <mergeCell ref="AA45:AB45"/>
    <mergeCell ref="AH45:AI45"/>
    <mergeCell ref="AJ45:AK45"/>
    <mergeCell ref="AL45:AN45"/>
    <mergeCell ref="AO45:AY45"/>
    <mergeCell ref="A44:B44"/>
    <mergeCell ref="T44:V44"/>
    <mergeCell ref="W44:X44"/>
    <mergeCell ref="Y44:Z44"/>
    <mergeCell ref="AA44:AB44"/>
    <mergeCell ref="AH44:AI44"/>
    <mergeCell ref="AJ44:AK44"/>
    <mergeCell ref="AL44:AN44"/>
    <mergeCell ref="AO44:AY44"/>
    <mergeCell ref="AJ42:AK42"/>
    <mergeCell ref="AL42:AN42"/>
    <mergeCell ref="AO42:AY42"/>
    <mergeCell ref="A43:B43"/>
    <mergeCell ref="T43:V43"/>
    <mergeCell ref="W43:X43"/>
    <mergeCell ref="Y43:Z43"/>
    <mergeCell ref="AA43:AB43"/>
    <mergeCell ref="AH43:AI43"/>
    <mergeCell ref="AJ43:AK43"/>
    <mergeCell ref="A42:B42"/>
    <mergeCell ref="T42:V42"/>
    <mergeCell ref="W42:X42"/>
    <mergeCell ref="Y42:Z42"/>
    <mergeCell ref="AA42:AB42"/>
    <mergeCell ref="AH42:AI42"/>
    <mergeCell ref="AL43:AN43"/>
    <mergeCell ref="AO43:AY43"/>
    <mergeCell ref="A41:B41"/>
    <mergeCell ref="T41:V41"/>
    <mergeCell ref="W41:X41"/>
    <mergeCell ref="Y41:Z41"/>
    <mergeCell ref="AA41:AB41"/>
    <mergeCell ref="AH41:AI41"/>
    <mergeCell ref="AJ41:AK41"/>
    <mergeCell ref="AL41:AN41"/>
    <mergeCell ref="AO41:AY41"/>
    <mergeCell ref="A40:B40"/>
    <mergeCell ref="T40:V40"/>
    <mergeCell ref="W40:X40"/>
    <mergeCell ref="Y40:Z40"/>
    <mergeCell ref="AA40:AB40"/>
    <mergeCell ref="AH40:AI40"/>
    <mergeCell ref="AJ40:AK40"/>
    <mergeCell ref="AL40:AN40"/>
    <mergeCell ref="AO40:AY40"/>
    <mergeCell ref="AJ38:AK38"/>
    <mergeCell ref="AL38:AN38"/>
    <mergeCell ref="AO38:AY38"/>
    <mergeCell ref="A39:B39"/>
    <mergeCell ref="T39:V39"/>
    <mergeCell ref="W39:X39"/>
    <mergeCell ref="Y39:Z39"/>
    <mergeCell ref="AA39:AB39"/>
    <mergeCell ref="AH39:AI39"/>
    <mergeCell ref="AJ39:AK39"/>
    <mergeCell ref="A38:B38"/>
    <mergeCell ref="T38:V38"/>
    <mergeCell ref="W38:X38"/>
    <mergeCell ref="Y38:Z38"/>
    <mergeCell ref="AA38:AB38"/>
    <mergeCell ref="AH38:AI38"/>
    <mergeCell ref="AL39:AN39"/>
    <mergeCell ref="AO39:AY39"/>
    <mergeCell ref="A37:B37"/>
    <mergeCell ref="T37:V37"/>
    <mergeCell ref="W37:X37"/>
    <mergeCell ref="Y37:Z37"/>
    <mergeCell ref="AA37:AB37"/>
    <mergeCell ref="AH37:AI37"/>
    <mergeCell ref="AJ37:AK37"/>
    <mergeCell ref="AL37:AN37"/>
    <mergeCell ref="AO37:AY37"/>
    <mergeCell ref="A36:B36"/>
    <mergeCell ref="T36:V36"/>
    <mergeCell ref="W36:X36"/>
    <mergeCell ref="Y36:Z36"/>
    <mergeCell ref="AA36:AB36"/>
    <mergeCell ref="AH36:AI36"/>
    <mergeCell ref="AJ36:AK36"/>
    <mergeCell ref="AL36:AN36"/>
    <mergeCell ref="AO36:AY36"/>
    <mergeCell ref="AJ34:AK34"/>
    <mergeCell ref="AL34:AN34"/>
    <mergeCell ref="AO34:AY34"/>
    <mergeCell ref="A35:B35"/>
    <mergeCell ref="T35:V35"/>
    <mergeCell ref="W35:X35"/>
    <mergeCell ref="Y35:Z35"/>
    <mergeCell ref="AA35:AB35"/>
    <mergeCell ref="AH35:AI35"/>
    <mergeCell ref="AJ35:AK35"/>
    <mergeCell ref="A34:B34"/>
    <mergeCell ref="T34:V34"/>
    <mergeCell ref="W34:X34"/>
    <mergeCell ref="Y34:Z34"/>
    <mergeCell ref="AA34:AB34"/>
    <mergeCell ref="AH34:AI34"/>
    <mergeCell ref="AL35:AN35"/>
    <mergeCell ref="AO35:AY35"/>
    <mergeCell ref="A33:B33"/>
    <mergeCell ref="T33:V33"/>
    <mergeCell ref="W33:X33"/>
    <mergeCell ref="Y33:Z33"/>
    <mergeCell ref="AA33:AB33"/>
    <mergeCell ref="AH33:AI33"/>
    <mergeCell ref="AJ33:AK33"/>
    <mergeCell ref="AL33:AN33"/>
    <mergeCell ref="AO33:AY33"/>
    <mergeCell ref="A32:B32"/>
    <mergeCell ref="T32:V32"/>
    <mergeCell ref="W32:X32"/>
    <mergeCell ref="Y32:Z32"/>
    <mergeCell ref="AA32:AB32"/>
    <mergeCell ref="AH32:AI32"/>
    <mergeCell ref="AJ32:AK32"/>
    <mergeCell ref="AL32:AN32"/>
    <mergeCell ref="AO32:AY32"/>
    <mergeCell ref="AJ30:AK30"/>
    <mergeCell ref="AL30:AN30"/>
    <mergeCell ref="AO30:AY30"/>
    <mergeCell ref="A31:B31"/>
    <mergeCell ref="T31:V31"/>
    <mergeCell ref="W31:X31"/>
    <mergeCell ref="Y31:Z31"/>
    <mergeCell ref="AA31:AB31"/>
    <mergeCell ref="AH31:AI31"/>
    <mergeCell ref="AJ31:AK31"/>
    <mergeCell ref="A30:B30"/>
    <mergeCell ref="T30:V30"/>
    <mergeCell ref="W30:X30"/>
    <mergeCell ref="Y30:Z30"/>
    <mergeCell ref="AA30:AB30"/>
    <mergeCell ref="AH30:AI30"/>
    <mergeCell ref="AL31:AN31"/>
    <mergeCell ref="AO31:AY31"/>
    <mergeCell ref="A29:B29"/>
    <mergeCell ref="T29:V29"/>
    <mergeCell ref="W29:X29"/>
    <mergeCell ref="Y29:Z29"/>
    <mergeCell ref="AA29:AB29"/>
    <mergeCell ref="AH29:AI29"/>
    <mergeCell ref="AJ29:AK29"/>
    <mergeCell ref="AL29:AN29"/>
    <mergeCell ref="AO29:AY29"/>
    <mergeCell ref="A28:B28"/>
    <mergeCell ref="T28:V28"/>
    <mergeCell ref="W28:X28"/>
    <mergeCell ref="Y28:Z28"/>
    <mergeCell ref="AA28:AB28"/>
    <mergeCell ref="AH28:AI28"/>
    <mergeCell ref="AJ28:AK28"/>
    <mergeCell ref="AL28:AN28"/>
    <mergeCell ref="AO28:AY28"/>
    <mergeCell ref="AJ26:AK26"/>
    <mergeCell ref="AL26:AN26"/>
    <mergeCell ref="AO26:AY26"/>
    <mergeCell ref="A27:B27"/>
    <mergeCell ref="T27:V27"/>
    <mergeCell ref="W27:X27"/>
    <mergeCell ref="Y27:Z27"/>
    <mergeCell ref="AA27:AB27"/>
    <mergeCell ref="AH27:AI27"/>
    <mergeCell ref="AJ27:AK27"/>
    <mergeCell ref="A26:B26"/>
    <mergeCell ref="T26:V26"/>
    <mergeCell ref="W26:X26"/>
    <mergeCell ref="Y26:Z26"/>
    <mergeCell ref="AA26:AB26"/>
    <mergeCell ref="AH26:AI26"/>
    <mergeCell ref="AL27:AN27"/>
    <mergeCell ref="AO27:AY27"/>
    <mergeCell ref="A25:B25"/>
    <mergeCell ref="T25:V25"/>
    <mergeCell ref="W25:X25"/>
    <mergeCell ref="Y25:Z25"/>
    <mergeCell ref="AA25:AB25"/>
    <mergeCell ref="AH25:AI25"/>
    <mergeCell ref="AJ25:AK25"/>
    <mergeCell ref="AL25:AN25"/>
    <mergeCell ref="AO25:AY25"/>
    <mergeCell ref="A24:B24"/>
    <mergeCell ref="T24:V24"/>
    <mergeCell ref="W24:X24"/>
    <mergeCell ref="Y24:Z24"/>
    <mergeCell ref="AA24:AB24"/>
    <mergeCell ref="AH24:AI24"/>
    <mergeCell ref="AJ24:AK24"/>
    <mergeCell ref="AL24:AN24"/>
    <mergeCell ref="AO24:AY24"/>
    <mergeCell ref="AJ22:AK22"/>
    <mergeCell ref="AL22:AN22"/>
    <mergeCell ref="AO22:AY22"/>
    <mergeCell ref="A23:B23"/>
    <mergeCell ref="T23:V23"/>
    <mergeCell ref="W23:X23"/>
    <mergeCell ref="Y23:Z23"/>
    <mergeCell ref="AA23:AB23"/>
    <mergeCell ref="AH23:AI23"/>
    <mergeCell ref="AJ23:AK23"/>
    <mergeCell ref="A22:B22"/>
    <mergeCell ref="T22:V22"/>
    <mergeCell ref="W22:X22"/>
    <mergeCell ref="Y22:Z22"/>
    <mergeCell ref="AA22:AB22"/>
    <mergeCell ref="AH22:AI22"/>
    <mergeCell ref="AL23:AN23"/>
    <mergeCell ref="AO23:AY23"/>
    <mergeCell ref="AA21:AB21"/>
    <mergeCell ref="AH21:AI21"/>
    <mergeCell ref="AJ21:AK21"/>
    <mergeCell ref="AL21:AN21"/>
    <mergeCell ref="AO21:AY21"/>
    <mergeCell ref="AA20:AB20"/>
    <mergeCell ref="AH20:AI20"/>
    <mergeCell ref="AJ20:AK20"/>
    <mergeCell ref="AL20:AN20"/>
    <mergeCell ref="AO20:AY20"/>
    <mergeCell ref="A21:B21"/>
    <mergeCell ref="L21:S21"/>
    <mergeCell ref="T21:V21"/>
    <mergeCell ref="W21:X21"/>
    <mergeCell ref="A20:B20"/>
    <mergeCell ref="L20:S20"/>
    <mergeCell ref="T20:V20"/>
    <mergeCell ref="W20:X20"/>
    <mergeCell ref="Y19:Z19"/>
    <mergeCell ref="Y21:Z21"/>
    <mergeCell ref="Y20:Z20"/>
    <mergeCell ref="AA19:AB19"/>
    <mergeCell ref="AH19:AI19"/>
    <mergeCell ref="AJ19:AK19"/>
    <mergeCell ref="AL19:AN19"/>
    <mergeCell ref="AO19:AY19"/>
    <mergeCell ref="AA18:AB18"/>
    <mergeCell ref="AH18:AI18"/>
    <mergeCell ref="AJ18:AK18"/>
    <mergeCell ref="AL18:AN18"/>
    <mergeCell ref="AO18:AY18"/>
    <mergeCell ref="Y18:Z18"/>
    <mergeCell ref="A19:B19"/>
    <mergeCell ref="L19:S19"/>
    <mergeCell ref="T19:V19"/>
    <mergeCell ref="W19:X19"/>
    <mergeCell ref="A18:B18"/>
    <mergeCell ref="L18:S18"/>
    <mergeCell ref="T18:V18"/>
    <mergeCell ref="W18:X18"/>
    <mergeCell ref="AA17:AB17"/>
    <mergeCell ref="AH17:AI17"/>
    <mergeCell ref="AJ17:AK17"/>
    <mergeCell ref="AL17:AN17"/>
    <mergeCell ref="AO17:AY17"/>
    <mergeCell ref="AA16:AB16"/>
    <mergeCell ref="AH16:AI16"/>
    <mergeCell ref="AJ16:AK16"/>
    <mergeCell ref="AL16:AN16"/>
    <mergeCell ref="AO16:AY16"/>
    <mergeCell ref="A17:B17"/>
    <mergeCell ref="L17:S17"/>
    <mergeCell ref="T17:V17"/>
    <mergeCell ref="W17:X17"/>
    <mergeCell ref="A16:B16"/>
    <mergeCell ref="L16:S16"/>
    <mergeCell ref="T16:V16"/>
    <mergeCell ref="W16:X16"/>
    <mergeCell ref="Y15:Z15"/>
    <mergeCell ref="Y17:Z17"/>
    <mergeCell ref="Y16:Z16"/>
    <mergeCell ref="AA15:AB15"/>
    <mergeCell ref="AH15:AI15"/>
    <mergeCell ref="AJ15:AK15"/>
    <mergeCell ref="AL15:AN15"/>
    <mergeCell ref="AO15:AY15"/>
    <mergeCell ref="AA14:AB14"/>
    <mergeCell ref="AH14:AI14"/>
    <mergeCell ref="AJ14:AK14"/>
    <mergeCell ref="AL14:AN14"/>
    <mergeCell ref="AO14:AY14"/>
    <mergeCell ref="Y14:Z14"/>
    <mergeCell ref="A15:B15"/>
    <mergeCell ref="L15:S15"/>
    <mergeCell ref="T15:V15"/>
    <mergeCell ref="W15:X15"/>
    <mergeCell ref="A14:B14"/>
    <mergeCell ref="L14:S14"/>
    <mergeCell ref="T14:V14"/>
    <mergeCell ref="W14:X14"/>
    <mergeCell ref="AH13:AI13"/>
    <mergeCell ref="AJ13:AK13"/>
    <mergeCell ref="AL13:AN13"/>
    <mergeCell ref="AO13:AY13"/>
    <mergeCell ref="AA12:AB12"/>
    <mergeCell ref="AH12:AI12"/>
    <mergeCell ref="AJ12:AK12"/>
    <mergeCell ref="AL12:AN12"/>
    <mergeCell ref="AO12:AY12"/>
    <mergeCell ref="A13:B13"/>
    <mergeCell ref="L13:S13"/>
    <mergeCell ref="T13:V13"/>
    <mergeCell ref="W13:X13"/>
    <mergeCell ref="A12:B12"/>
    <mergeCell ref="L12:S12"/>
    <mergeCell ref="T12:V12"/>
    <mergeCell ref="W12:X12"/>
    <mergeCell ref="AA10:AB10"/>
    <mergeCell ref="Y13:Z13"/>
    <mergeCell ref="AA13:AB13"/>
    <mergeCell ref="Y12:Z12"/>
    <mergeCell ref="AC10:AG10"/>
    <mergeCell ref="AH10:AI10"/>
    <mergeCell ref="AJ10:AK11"/>
    <mergeCell ref="AL10:AN11"/>
    <mergeCell ref="AO10:AY11"/>
    <mergeCell ref="AA11:AB11"/>
    <mergeCell ref="AH11:AI11"/>
    <mergeCell ref="A10:B11"/>
    <mergeCell ref="C10:K11"/>
    <mergeCell ref="L10:S11"/>
    <mergeCell ref="T10:V11"/>
    <mergeCell ref="W10:X11"/>
    <mergeCell ref="Y10:Z11"/>
    <mergeCell ref="A6:F8"/>
    <mergeCell ref="G6:K6"/>
    <mergeCell ref="L6:AB6"/>
    <mergeCell ref="AC6:AG6"/>
    <mergeCell ref="AH6:AY6"/>
    <mergeCell ref="AX2:AY5"/>
    <mergeCell ref="G3:K3"/>
    <mergeCell ref="AI3:AK3"/>
    <mergeCell ref="AL3:AN3"/>
    <mergeCell ref="AO3:AS3"/>
    <mergeCell ref="AT3:AW3"/>
    <mergeCell ref="G4:K4"/>
    <mergeCell ref="AI4:AK5"/>
    <mergeCell ref="AL4:AN4"/>
    <mergeCell ref="AO4:AS4"/>
    <mergeCell ref="A1:F5"/>
    <mergeCell ref="G7:K7"/>
    <mergeCell ref="L7:AB7"/>
    <mergeCell ref="AC7:AG7"/>
    <mergeCell ref="AH7:AY7"/>
    <mergeCell ref="G8:K8"/>
    <mergeCell ref="L8:AB8"/>
    <mergeCell ref="AC8:AG8"/>
    <mergeCell ref="AH8:AY8"/>
    <mergeCell ref="AO1:AS1"/>
    <mergeCell ref="AT1:AW1"/>
    <mergeCell ref="AX1:AY1"/>
    <mergeCell ref="G2:K2"/>
    <mergeCell ref="AC2:AE5"/>
    <mergeCell ref="AF2:AH5"/>
    <mergeCell ref="AI2:AK2"/>
    <mergeCell ref="AL2:AN2"/>
    <mergeCell ref="AO2:AS2"/>
    <mergeCell ref="AT2:AW2"/>
    <mergeCell ref="G1:K1"/>
    <mergeCell ref="AC1:AE1"/>
    <mergeCell ref="AF1:AH1"/>
    <mergeCell ref="AI1:AK1"/>
    <mergeCell ref="AL1:AN1"/>
    <mergeCell ref="AT4:AW4"/>
    <mergeCell ref="G5:K5"/>
    <mergeCell ref="AL5:AN5"/>
    <mergeCell ref="AO5:AS5"/>
    <mergeCell ref="AT5:AW5"/>
  </mergeCells>
  <phoneticPr fontId="21"/>
  <dataValidations count="1">
    <dataValidation type="list" allowBlank="1" showInputMessage="1" showErrorMessage="1" sqref="T54:V54 T50:T53 T12:V49" xr:uid="{00000000-0002-0000-7400-000000000000}">
      <formula1>型候補</formula1>
    </dataValidation>
  </dataValidations>
  <hyperlinks>
    <hyperlink ref="A1:F5" location="テーブル一覧!A1" display="テーブル一覧!A1" xr:uid="{00000000-0004-0000-7400-000000000000}"/>
  </hyperlinks>
  <pageMargins left="0.70866141732283472" right="0.70866141732283472" top="0.74803149606299213" bottom="0.74803149606299213" header="0.31496062992125984" footer="0.31496062992125984"/>
  <pageSetup paperSize="9" scale="83" fitToHeight="0" orientation="landscape" horizontalDpi="4294967294" r:id="rId2"/>
  <ignoredErrors>
    <ignoredError sqref="AO3:AW3 AH8 L1:L2" unlocked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8B3BC-FD3E-4AC4-9590-A145B923EB59}">
  <sheetPr codeName="Sheet36">
    <pageSetUpPr fitToPage="1"/>
  </sheetPr>
  <dimension ref="A1:AY54"/>
  <sheetViews>
    <sheetView view="pageBreakPreview" zoomScaleNormal="100" zoomScaleSheetLayoutView="100" workbookViewId="0">
      <selection activeCell="C12" sqref="C12:C28"/>
    </sheetView>
  </sheetViews>
  <sheetFormatPr defaultColWidth="3.83203125" defaultRowHeight="12"/>
  <cols>
    <col min="1" max="1" width="3.83203125" style="7" customWidth="1"/>
    <col min="2" max="3" width="3.83203125" style="8"/>
    <col min="4" max="49" width="3.83203125" style="7"/>
    <col min="50" max="50" width="4" style="7" customWidth="1"/>
    <col min="51" max="16384" width="3.83203125" style="7"/>
  </cols>
  <sheetData>
    <row r="1" spans="1:51" s="2" customFormat="1">
      <c r="A1" s="162" t="str">
        <f>L5</f>
        <v>テーブル定義書</v>
      </c>
      <c r="B1" s="163"/>
      <c r="C1" s="163"/>
      <c r="D1" s="163"/>
      <c r="E1" s="163"/>
      <c r="F1" s="164"/>
      <c r="G1" s="123" t="s">
        <v>59</v>
      </c>
      <c r="H1" s="113"/>
      <c r="I1" s="113"/>
      <c r="J1" s="113"/>
      <c r="K1" s="113"/>
      <c r="L1" s="1">
        <f>表紙!B8</f>
        <v>0</v>
      </c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24"/>
      <c r="AD1" s="124"/>
      <c r="AE1" s="124"/>
      <c r="AF1" s="124"/>
      <c r="AG1" s="124"/>
      <c r="AH1" s="124"/>
      <c r="AI1" s="113" t="s">
        <v>60</v>
      </c>
      <c r="AJ1" s="113"/>
      <c r="AK1" s="113"/>
      <c r="AL1" s="113" t="s">
        <v>61</v>
      </c>
      <c r="AM1" s="113"/>
      <c r="AN1" s="113"/>
      <c r="AO1" s="113" t="s">
        <v>62</v>
      </c>
      <c r="AP1" s="113"/>
      <c r="AQ1" s="113"/>
      <c r="AR1" s="113"/>
      <c r="AS1" s="113"/>
      <c r="AT1" s="113" t="s">
        <v>55</v>
      </c>
      <c r="AU1" s="113"/>
      <c r="AV1" s="113"/>
      <c r="AW1" s="113"/>
      <c r="AX1" s="113" t="s">
        <v>63</v>
      </c>
      <c r="AY1" s="114"/>
    </row>
    <row r="2" spans="1:51" s="2" customFormat="1">
      <c r="A2" s="165"/>
      <c r="B2" s="166"/>
      <c r="C2" s="166"/>
      <c r="D2" s="166"/>
      <c r="E2" s="166"/>
      <c r="F2" s="167"/>
      <c r="G2" s="115" t="s">
        <v>64</v>
      </c>
      <c r="H2" s="116"/>
      <c r="I2" s="116"/>
      <c r="J2" s="116"/>
      <c r="K2" s="116"/>
      <c r="L2" s="3">
        <f>表紙!M8</f>
        <v>0</v>
      </c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117"/>
      <c r="AD2" s="117"/>
      <c r="AE2" s="117"/>
      <c r="AF2" s="117"/>
      <c r="AG2" s="117"/>
      <c r="AH2" s="117"/>
      <c r="AI2" s="119" t="s">
        <v>65</v>
      </c>
      <c r="AJ2" s="119"/>
      <c r="AK2" s="119"/>
      <c r="AL2" s="120" t="s">
        <v>73</v>
      </c>
      <c r="AM2" s="120"/>
      <c r="AN2" s="120"/>
      <c r="AO2" s="121"/>
      <c r="AP2" s="121"/>
      <c r="AQ2" s="122"/>
      <c r="AR2" s="122"/>
      <c r="AS2" s="122"/>
      <c r="AT2" s="122"/>
      <c r="AU2" s="122"/>
      <c r="AV2" s="122"/>
      <c r="AW2" s="122"/>
      <c r="AX2" s="150" t="s">
        <v>74</v>
      </c>
      <c r="AY2" s="151"/>
    </row>
    <row r="3" spans="1:51" s="2" customFormat="1">
      <c r="A3" s="165"/>
      <c r="B3" s="166"/>
      <c r="C3" s="166"/>
      <c r="D3" s="166"/>
      <c r="E3" s="166"/>
      <c r="F3" s="167"/>
      <c r="G3" s="154" t="s">
        <v>66</v>
      </c>
      <c r="H3" s="119"/>
      <c r="I3" s="119"/>
      <c r="J3" s="119"/>
      <c r="K3" s="119"/>
      <c r="L3" s="4" t="s">
        <v>76</v>
      </c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117"/>
      <c r="AD3" s="117"/>
      <c r="AE3" s="117"/>
      <c r="AF3" s="117"/>
      <c r="AG3" s="117"/>
      <c r="AH3" s="117"/>
      <c r="AI3" s="155" t="s">
        <v>67</v>
      </c>
      <c r="AJ3" s="155"/>
      <c r="AK3" s="155"/>
      <c r="AL3" s="156"/>
      <c r="AM3" s="156"/>
      <c r="AN3" s="156"/>
      <c r="AO3" s="157" t="str">
        <f>IF( $AL3 &lt;&gt; "", VLOOKUP( $AL3, 表紙!$B$15:$AE$47, 5, FALSE ), "" )</f>
        <v/>
      </c>
      <c r="AP3" s="157"/>
      <c r="AQ3" s="158"/>
      <c r="AR3" s="158"/>
      <c r="AS3" s="158"/>
      <c r="AT3" s="158" t="str">
        <f>IF( $AL3 &lt;&gt; "", VLOOKUP( $AL3, 表紙!$B$15:$AE$47, 28, FALSE ), "" )</f>
        <v/>
      </c>
      <c r="AU3" s="158"/>
      <c r="AV3" s="158"/>
      <c r="AW3" s="158"/>
      <c r="AX3" s="150"/>
      <c r="AY3" s="151"/>
    </row>
    <row r="4" spans="1:51" s="2" customFormat="1">
      <c r="A4" s="165"/>
      <c r="B4" s="166"/>
      <c r="C4" s="166"/>
      <c r="D4" s="166"/>
      <c r="E4" s="166"/>
      <c r="F4" s="167"/>
      <c r="G4" s="159" t="s">
        <v>75</v>
      </c>
      <c r="H4" s="155"/>
      <c r="I4" s="155"/>
      <c r="J4" s="155"/>
      <c r="K4" s="15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117"/>
      <c r="AD4" s="117"/>
      <c r="AE4" s="117"/>
      <c r="AF4" s="117"/>
      <c r="AG4" s="117"/>
      <c r="AH4" s="117"/>
      <c r="AI4" s="155" t="s">
        <v>68</v>
      </c>
      <c r="AJ4" s="155"/>
      <c r="AK4" s="155"/>
      <c r="AL4" s="156"/>
      <c r="AM4" s="156"/>
      <c r="AN4" s="156"/>
      <c r="AO4" s="160"/>
      <c r="AP4" s="160"/>
      <c r="AQ4" s="161"/>
      <c r="AR4" s="161"/>
      <c r="AS4" s="161"/>
      <c r="AT4" s="125"/>
      <c r="AU4" s="125"/>
      <c r="AV4" s="125"/>
      <c r="AW4" s="125"/>
      <c r="AX4" s="150"/>
      <c r="AY4" s="151"/>
    </row>
    <row r="5" spans="1:51" s="2" customFormat="1" ht="12.75" thickBot="1">
      <c r="A5" s="168"/>
      <c r="B5" s="169"/>
      <c r="C5" s="169"/>
      <c r="D5" s="169"/>
      <c r="E5" s="169"/>
      <c r="F5" s="170"/>
      <c r="G5" s="126" t="s">
        <v>0</v>
      </c>
      <c r="H5" s="127"/>
      <c r="I5" s="127"/>
      <c r="J5" s="127"/>
      <c r="K5" s="127"/>
      <c r="L5" s="6" t="s">
        <v>87</v>
      </c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118"/>
      <c r="AD5" s="118"/>
      <c r="AE5" s="118"/>
      <c r="AF5" s="118"/>
      <c r="AG5" s="118"/>
      <c r="AH5" s="118"/>
      <c r="AI5" s="127"/>
      <c r="AJ5" s="127"/>
      <c r="AK5" s="127"/>
      <c r="AL5" s="128"/>
      <c r="AM5" s="128"/>
      <c r="AN5" s="128"/>
      <c r="AO5" s="129"/>
      <c r="AP5" s="129"/>
      <c r="AQ5" s="130"/>
      <c r="AR5" s="130"/>
      <c r="AS5" s="130"/>
      <c r="AT5" s="131"/>
      <c r="AU5" s="131"/>
      <c r="AV5" s="131"/>
      <c r="AW5" s="131"/>
      <c r="AX5" s="152"/>
      <c r="AY5" s="153"/>
    </row>
    <row r="6" spans="1:51" s="2" customFormat="1">
      <c r="A6" s="132" t="s">
        <v>1</v>
      </c>
      <c r="B6" s="133"/>
      <c r="C6" s="133"/>
      <c r="D6" s="133"/>
      <c r="E6" s="133"/>
      <c r="F6" s="134"/>
      <c r="G6" s="141" t="s">
        <v>10</v>
      </c>
      <c r="H6" s="142"/>
      <c r="I6" s="142"/>
      <c r="J6" s="142"/>
      <c r="K6" s="142"/>
      <c r="L6" s="143"/>
      <c r="M6" s="144"/>
      <c r="N6" s="144"/>
      <c r="O6" s="144"/>
      <c r="P6" s="144"/>
      <c r="Q6" s="144"/>
      <c r="R6" s="144"/>
      <c r="S6" s="144"/>
      <c r="T6" s="144"/>
      <c r="U6" s="144"/>
      <c r="V6" s="144"/>
      <c r="W6" s="144"/>
      <c r="X6" s="144"/>
      <c r="Y6" s="144"/>
      <c r="Z6" s="144"/>
      <c r="AA6" s="144"/>
      <c r="AB6" s="145"/>
      <c r="AC6" s="146" t="s">
        <v>14</v>
      </c>
      <c r="AD6" s="142"/>
      <c r="AE6" s="142"/>
      <c r="AF6" s="142"/>
      <c r="AG6" s="142"/>
      <c r="AH6" s="147" t="s">
        <v>79</v>
      </c>
      <c r="AI6" s="148"/>
      <c r="AJ6" s="148"/>
      <c r="AK6" s="148"/>
      <c r="AL6" s="148"/>
      <c r="AM6" s="148"/>
      <c r="AN6" s="148"/>
      <c r="AO6" s="148"/>
      <c r="AP6" s="148"/>
      <c r="AQ6" s="148"/>
      <c r="AR6" s="148"/>
      <c r="AS6" s="148"/>
      <c r="AT6" s="148"/>
      <c r="AU6" s="148"/>
      <c r="AV6" s="148"/>
      <c r="AW6" s="148"/>
      <c r="AX6" s="148"/>
      <c r="AY6" s="149"/>
    </row>
    <row r="7" spans="1:51" s="2" customFormat="1">
      <c r="A7" s="135"/>
      <c r="B7" s="136"/>
      <c r="C7" s="136"/>
      <c r="D7" s="136"/>
      <c r="E7" s="136"/>
      <c r="F7" s="137"/>
      <c r="G7" s="171" t="s">
        <v>11</v>
      </c>
      <c r="H7" s="155"/>
      <c r="I7" s="155"/>
      <c r="J7" s="155"/>
      <c r="K7" s="155"/>
      <c r="L7" s="172" t="s">
        <v>143</v>
      </c>
      <c r="M7" s="173"/>
      <c r="N7" s="173"/>
      <c r="O7" s="173"/>
      <c r="P7" s="173"/>
      <c r="Q7" s="173"/>
      <c r="R7" s="173"/>
      <c r="S7" s="173"/>
      <c r="T7" s="173"/>
      <c r="U7" s="173"/>
      <c r="V7" s="173"/>
      <c r="W7" s="173"/>
      <c r="X7" s="173"/>
      <c r="Y7" s="173"/>
      <c r="Z7" s="173"/>
      <c r="AA7" s="173"/>
      <c r="AB7" s="174"/>
      <c r="AC7" s="159" t="s">
        <v>13</v>
      </c>
      <c r="AD7" s="155"/>
      <c r="AE7" s="155"/>
      <c r="AF7" s="155"/>
      <c r="AG7" s="155"/>
      <c r="AH7" s="172" t="s">
        <v>143</v>
      </c>
      <c r="AI7" s="173"/>
      <c r="AJ7" s="173"/>
      <c r="AK7" s="173"/>
      <c r="AL7" s="173"/>
      <c r="AM7" s="173"/>
      <c r="AN7" s="173"/>
      <c r="AO7" s="173"/>
      <c r="AP7" s="173"/>
      <c r="AQ7" s="173"/>
      <c r="AR7" s="173"/>
      <c r="AS7" s="173"/>
      <c r="AT7" s="173"/>
      <c r="AU7" s="173"/>
      <c r="AV7" s="173"/>
      <c r="AW7" s="173"/>
      <c r="AX7" s="173"/>
      <c r="AY7" s="174"/>
    </row>
    <row r="8" spans="1:51" s="2" customFormat="1" ht="12.75" thickBot="1">
      <c r="A8" s="138"/>
      <c r="B8" s="139"/>
      <c r="C8" s="139"/>
      <c r="D8" s="139"/>
      <c r="E8" s="139"/>
      <c r="F8" s="140"/>
      <c r="G8" s="175" t="s">
        <v>12</v>
      </c>
      <c r="H8" s="176"/>
      <c r="I8" s="176"/>
      <c r="J8" s="176"/>
      <c r="K8" s="176"/>
      <c r="L8" s="177" t="s">
        <v>144</v>
      </c>
      <c r="M8" s="178"/>
      <c r="N8" s="178"/>
      <c r="O8" s="178"/>
      <c r="P8" s="178"/>
      <c r="Q8" s="178"/>
      <c r="R8" s="178"/>
      <c r="S8" s="178"/>
      <c r="T8" s="178"/>
      <c r="U8" s="178"/>
      <c r="V8" s="178"/>
      <c r="W8" s="178"/>
      <c r="X8" s="178"/>
      <c r="Y8" s="178"/>
      <c r="Z8" s="178"/>
      <c r="AA8" s="178"/>
      <c r="AB8" s="179"/>
      <c r="AC8" s="180" t="s">
        <v>33</v>
      </c>
      <c r="AD8" s="176"/>
      <c r="AE8" s="176"/>
      <c r="AF8" s="176"/>
      <c r="AG8" s="176"/>
      <c r="AH8" s="177" t="str">
        <f ca="1">RIGHT(CELL("filename",A1),LEN(CELL("filename",A1))-FIND("]",CELL("filename",A1)))</f>
        <v>m_社員</v>
      </c>
      <c r="AI8" s="178"/>
      <c r="AJ8" s="178"/>
      <c r="AK8" s="178"/>
      <c r="AL8" s="178"/>
      <c r="AM8" s="178"/>
      <c r="AN8" s="178"/>
      <c r="AO8" s="178"/>
      <c r="AP8" s="178"/>
      <c r="AQ8" s="178"/>
      <c r="AR8" s="178"/>
      <c r="AS8" s="178"/>
      <c r="AT8" s="178"/>
      <c r="AU8" s="178"/>
      <c r="AV8" s="178"/>
      <c r="AW8" s="178"/>
      <c r="AX8" s="178"/>
      <c r="AY8" s="179"/>
    </row>
    <row r="10" spans="1:51">
      <c r="A10" s="181" t="s">
        <v>15</v>
      </c>
      <c r="B10" s="181"/>
      <c r="C10" s="181" t="s">
        <v>17</v>
      </c>
      <c r="D10" s="181"/>
      <c r="E10" s="181"/>
      <c r="F10" s="181"/>
      <c r="G10" s="181"/>
      <c r="H10" s="181"/>
      <c r="I10" s="181"/>
      <c r="J10" s="181"/>
      <c r="K10" s="181"/>
      <c r="L10" s="183" t="s">
        <v>18</v>
      </c>
      <c r="M10" s="184"/>
      <c r="N10" s="184"/>
      <c r="O10" s="184"/>
      <c r="P10" s="184"/>
      <c r="Q10" s="184"/>
      <c r="R10" s="184"/>
      <c r="S10" s="185"/>
      <c r="T10" s="184" t="s">
        <v>16</v>
      </c>
      <c r="U10" s="184"/>
      <c r="V10" s="185"/>
      <c r="W10" s="181" t="s">
        <v>28</v>
      </c>
      <c r="X10" s="181"/>
      <c r="Y10" s="181" t="s">
        <v>29</v>
      </c>
      <c r="Z10" s="181"/>
      <c r="AA10" s="181" t="s">
        <v>25</v>
      </c>
      <c r="AB10" s="181"/>
      <c r="AC10" s="181" t="s">
        <v>26</v>
      </c>
      <c r="AD10" s="181"/>
      <c r="AE10" s="181"/>
      <c r="AF10" s="181"/>
      <c r="AG10" s="181"/>
      <c r="AH10" s="181" t="s">
        <v>27</v>
      </c>
      <c r="AI10" s="181"/>
      <c r="AJ10" s="182" t="s">
        <v>30</v>
      </c>
      <c r="AK10" s="181"/>
      <c r="AL10" s="181" t="s">
        <v>31</v>
      </c>
      <c r="AM10" s="181"/>
      <c r="AN10" s="181"/>
      <c r="AO10" s="181" t="s">
        <v>32</v>
      </c>
      <c r="AP10" s="181"/>
      <c r="AQ10" s="181"/>
      <c r="AR10" s="181"/>
      <c r="AS10" s="181"/>
      <c r="AT10" s="181"/>
      <c r="AU10" s="181"/>
      <c r="AV10" s="181"/>
      <c r="AW10" s="181"/>
      <c r="AX10" s="181"/>
      <c r="AY10" s="181"/>
    </row>
    <row r="11" spans="1:51">
      <c r="A11" s="181"/>
      <c r="B11" s="181"/>
      <c r="C11" s="181"/>
      <c r="D11" s="181"/>
      <c r="E11" s="181"/>
      <c r="F11" s="181"/>
      <c r="G11" s="181"/>
      <c r="H11" s="181"/>
      <c r="I11" s="181"/>
      <c r="J11" s="181"/>
      <c r="K11" s="181"/>
      <c r="L11" s="186"/>
      <c r="M11" s="187"/>
      <c r="N11" s="187"/>
      <c r="O11" s="187"/>
      <c r="P11" s="187"/>
      <c r="Q11" s="187"/>
      <c r="R11" s="187"/>
      <c r="S11" s="188"/>
      <c r="T11" s="187"/>
      <c r="U11" s="187"/>
      <c r="V11" s="188"/>
      <c r="W11" s="181"/>
      <c r="X11" s="181"/>
      <c r="Y11" s="181"/>
      <c r="Z11" s="181"/>
      <c r="AA11" s="181" t="s">
        <v>24</v>
      </c>
      <c r="AB11" s="181"/>
      <c r="AC11" s="9" t="s">
        <v>19</v>
      </c>
      <c r="AD11" s="9" t="s">
        <v>20</v>
      </c>
      <c r="AE11" s="9" t="s">
        <v>21</v>
      </c>
      <c r="AF11" s="9" t="s">
        <v>22</v>
      </c>
      <c r="AG11" s="9" t="s">
        <v>23</v>
      </c>
      <c r="AH11" s="181" t="s">
        <v>24</v>
      </c>
      <c r="AI11" s="181"/>
      <c r="AJ11" s="181"/>
      <c r="AK11" s="181"/>
      <c r="AL11" s="181"/>
      <c r="AM11" s="181"/>
      <c r="AN11" s="181"/>
      <c r="AO11" s="181"/>
      <c r="AP11" s="181"/>
      <c r="AQ11" s="181"/>
      <c r="AR11" s="181"/>
      <c r="AS11" s="181"/>
      <c r="AT11" s="181"/>
      <c r="AU11" s="181"/>
      <c r="AV11" s="181"/>
      <c r="AW11" s="181"/>
      <c r="AX11" s="181"/>
      <c r="AY11" s="181"/>
    </row>
    <row r="12" spans="1:51">
      <c r="A12" s="189">
        <f t="shared" ref="A12:A54" si="0">ROW()-11</f>
        <v>1</v>
      </c>
      <c r="B12" s="190"/>
      <c r="C12" s="61" t="s">
        <v>82</v>
      </c>
      <c r="D12" s="59"/>
      <c r="E12" s="59"/>
      <c r="F12" s="59"/>
      <c r="G12" s="59"/>
      <c r="H12" s="59"/>
      <c r="I12" s="59"/>
      <c r="J12" s="59"/>
      <c r="K12" s="60"/>
      <c r="L12" s="191" t="s">
        <v>93</v>
      </c>
      <c r="M12" s="192"/>
      <c r="N12" s="192"/>
      <c r="O12" s="192"/>
      <c r="P12" s="192"/>
      <c r="Q12" s="192"/>
      <c r="R12" s="192"/>
      <c r="S12" s="193"/>
      <c r="T12" s="194" t="s">
        <v>41</v>
      </c>
      <c r="U12" s="195"/>
      <c r="V12" s="196"/>
      <c r="W12" s="197" t="s">
        <v>43</v>
      </c>
      <c r="X12" s="198"/>
      <c r="Y12" s="197">
        <v>8</v>
      </c>
      <c r="Z12" s="198"/>
      <c r="AA12" s="197"/>
      <c r="AB12" s="198"/>
      <c r="AC12" s="47"/>
      <c r="AD12" s="22"/>
      <c r="AE12" s="22"/>
      <c r="AF12" s="22"/>
      <c r="AG12" s="49"/>
      <c r="AH12" s="197"/>
      <c r="AI12" s="198"/>
      <c r="AJ12" s="199"/>
      <c r="AK12" s="200"/>
      <c r="AL12" s="197"/>
      <c r="AM12" s="201"/>
      <c r="AN12" s="198"/>
      <c r="AO12" s="192"/>
      <c r="AP12" s="192"/>
      <c r="AQ12" s="192"/>
      <c r="AR12" s="192"/>
      <c r="AS12" s="192"/>
      <c r="AT12" s="192"/>
      <c r="AU12" s="192"/>
      <c r="AV12" s="192"/>
      <c r="AW12" s="192"/>
      <c r="AX12" s="192"/>
      <c r="AY12" s="193"/>
    </row>
    <row r="13" spans="1:51">
      <c r="A13" s="189">
        <f t="shared" si="0"/>
        <v>2</v>
      </c>
      <c r="B13" s="190"/>
      <c r="C13" s="61" t="s">
        <v>83</v>
      </c>
      <c r="D13" s="59"/>
      <c r="E13" s="59"/>
      <c r="F13" s="59"/>
      <c r="G13" s="59"/>
      <c r="H13" s="59"/>
      <c r="I13" s="59"/>
      <c r="J13" s="59"/>
      <c r="K13" s="60"/>
      <c r="L13" s="191" t="s">
        <v>94</v>
      </c>
      <c r="M13" s="192"/>
      <c r="N13" s="192"/>
      <c r="O13" s="192"/>
      <c r="P13" s="192"/>
      <c r="Q13" s="192"/>
      <c r="R13" s="192"/>
      <c r="S13" s="193"/>
      <c r="T13" s="194" t="s">
        <v>40</v>
      </c>
      <c r="U13" s="195"/>
      <c r="V13" s="196"/>
      <c r="W13" s="197">
        <v>60</v>
      </c>
      <c r="X13" s="198"/>
      <c r="Y13" s="197">
        <v>60</v>
      </c>
      <c r="Z13" s="198"/>
      <c r="AA13" s="197"/>
      <c r="AB13" s="198"/>
      <c r="AC13" s="47"/>
      <c r="AD13" s="22"/>
      <c r="AE13" s="22"/>
      <c r="AF13" s="22"/>
      <c r="AG13" s="49"/>
      <c r="AH13" s="197"/>
      <c r="AI13" s="198"/>
      <c r="AJ13" s="199"/>
      <c r="AK13" s="200"/>
      <c r="AL13" s="197"/>
      <c r="AM13" s="201"/>
      <c r="AN13" s="198"/>
      <c r="AO13" s="192"/>
      <c r="AP13" s="192"/>
      <c r="AQ13" s="192"/>
      <c r="AR13" s="192"/>
      <c r="AS13" s="192"/>
      <c r="AT13" s="192"/>
      <c r="AU13" s="192"/>
      <c r="AV13" s="192"/>
      <c r="AW13" s="192"/>
      <c r="AX13" s="192"/>
      <c r="AY13" s="193"/>
    </row>
    <row r="14" spans="1:51">
      <c r="A14" s="189">
        <f t="shared" si="0"/>
        <v>3</v>
      </c>
      <c r="B14" s="190"/>
      <c r="C14" s="61" t="s">
        <v>90</v>
      </c>
      <c r="D14" s="59"/>
      <c r="E14" s="59"/>
      <c r="F14" s="59"/>
      <c r="G14" s="59"/>
      <c r="H14" s="59"/>
      <c r="I14" s="59"/>
      <c r="J14" s="59"/>
      <c r="K14" s="60"/>
      <c r="L14" s="191" t="s">
        <v>95</v>
      </c>
      <c r="M14" s="192"/>
      <c r="N14" s="192"/>
      <c r="O14" s="192"/>
      <c r="P14" s="192"/>
      <c r="Q14" s="192"/>
      <c r="R14" s="192"/>
      <c r="S14" s="193"/>
      <c r="T14" s="194" t="s">
        <v>42</v>
      </c>
      <c r="U14" s="195"/>
      <c r="V14" s="196"/>
      <c r="W14" s="197" t="s">
        <v>91</v>
      </c>
      <c r="X14" s="198"/>
      <c r="Y14" s="197">
        <v>4</v>
      </c>
      <c r="Z14" s="198"/>
      <c r="AA14" s="197"/>
      <c r="AB14" s="198"/>
      <c r="AC14" s="47"/>
      <c r="AD14" s="22"/>
      <c r="AE14" s="22"/>
      <c r="AF14" s="22"/>
      <c r="AG14" s="49"/>
      <c r="AH14" s="197"/>
      <c r="AI14" s="198"/>
      <c r="AJ14" s="199"/>
      <c r="AK14" s="200"/>
      <c r="AL14" s="197"/>
      <c r="AM14" s="201"/>
      <c r="AN14" s="198"/>
      <c r="AO14" s="192"/>
      <c r="AP14" s="192"/>
      <c r="AQ14" s="192"/>
      <c r="AR14" s="192"/>
      <c r="AS14" s="192"/>
      <c r="AT14" s="192"/>
      <c r="AU14" s="192"/>
      <c r="AV14" s="192"/>
      <c r="AW14" s="192"/>
      <c r="AX14" s="192"/>
      <c r="AY14" s="193"/>
    </row>
    <row r="15" spans="1:51">
      <c r="A15" s="189">
        <f t="shared" si="0"/>
        <v>4</v>
      </c>
      <c r="B15" s="190"/>
      <c r="C15" s="61" t="s">
        <v>84</v>
      </c>
      <c r="D15" s="59"/>
      <c r="E15" s="59"/>
      <c r="F15" s="59"/>
      <c r="G15" s="59"/>
      <c r="H15" s="59"/>
      <c r="I15" s="59"/>
      <c r="J15" s="59"/>
      <c r="K15" s="60"/>
      <c r="L15" s="191" t="s">
        <v>96</v>
      </c>
      <c r="M15" s="192"/>
      <c r="N15" s="192"/>
      <c r="O15" s="192"/>
      <c r="P15" s="192"/>
      <c r="Q15" s="192"/>
      <c r="R15" s="192"/>
      <c r="S15" s="193"/>
      <c r="T15" s="194" t="s">
        <v>41</v>
      </c>
      <c r="U15" s="195"/>
      <c r="V15" s="196"/>
      <c r="W15" s="197" t="s">
        <v>43</v>
      </c>
      <c r="X15" s="198"/>
      <c r="Y15" s="197">
        <v>8</v>
      </c>
      <c r="Z15" s="198"/>
      <c r="AA15" s="197"/>
      <c r="AB15" s="198"/>
      <c r="AC15" s="47"/>
      <c r="AD15" s="22"/>
      <c r="AE15" s="22"/>
      <c r="AF15" s="22"/>
      <c r="AG15" s="49"/>
      <c r="AH15" s="197"/>
      <c r="AI15" s="198"/>
      <c r="AJ15" s="199"/>
      <c r="AK15" s="200"/>
      <c r="AL15" s="197"/>
      <c r="AM15" s="201"/>
      <c r="AN15" s="198"/>
      <c r="AO15" s="192"/>
      <c r="AP15" s="192"/>
      <c r="AQ15" s="192"/>
      <c r="AR15" s="192"/>
      <c r="AS15" s="192"/>
      <c r="AT15" s="192"/>
      <c r="AU15" s="192"/>
      <c r="AV15" s="192"/>
      <c r="AW15" s="192"/>
      <c r="AX15" s="192"/>
      <c r="AY15" s="193"/>
    </row>
    <row r="16" spans="1:51">
      <c r="A16" s="189">
        <f t="shared" si="0"/>
        <v>5</v>
      </c>
      <c r="B16" s="190"/>
      <c r="C16" s="61" t="s">
        <v>85</v>
      </c>
      <c r="D16" s="59"/>
      <c r="E16" s="59"/>
      <c r="F16" s="59"/>
      <c r="G16" s="59"/>
      <c r="H16" s="59"/>
      <c r="I16" s="59"/>
      <c r="J16" s="59"/>
      <c r="K16" s="60"/>
      <c r="L16" s="191" t="s">
        <v>97</v>
      </c>
      <c r="M16" s="192"/>
      <c r="N16" s="192"/>
      <c r="O16" s="192"/>
      <c r="P16" s="192"/>
      <c r="Q16" s="192"/>
      <c r="R16" s="192"/>
      <c r="S16" s="193"/>
      <c r="T16" s="194" t="s">
        <v>40</v>
      </c>
      <c r="U16" s="195"/>
      <c r="V16" s="196"/>
      <c r="W16" s="197">
        <v>60</v>
      </c>
      <c r="X16" s="198"/>
      <c r="Y16" s="197">
        <v>60</v>
      </c>
      <c r="Z16" s="198"/>
      <c r="AA16" s="197"/>
      <c r="AB16" s="198"/>
      <c r="AC16" s="47"/>
      <c r="AD16" s="22"/>
      <c r="AE16" s="22"/>
      <c r="AF16" s="22"/>
      <c r="AG16" s="49"/>
      <c r="AH16" s="197"/>
      <c r="AI16" s="198"/>
      <c r="AJ16" s="199"/>
      <c r="AK16" s="200"/>
      <c r="AL16" s="197"/>
      <c r="AM16" s="201"/>
      <c r="AN16" s="198"/>
      <c r="AO16" s="192"/>
      <c r="AP16" s="192"/>
      <c r="AQ16" s="192"/>
      <c r="AR16" s="192"/>
      <c r="AS16" s="192"/>
      <c r="AT16" s="192"/>
      <c r="AU16" s="192"/>
      <c r="AV16" s="192"/>
      <c r="AW16" s="192"/>
      <c r="AX16" s="192"/>
      <c r="AY16" s="193"/>
    </row>
    <row r="17" spans="1:51">
      <c r="A17" s="189">
        <f t="shared" si="0"/>
        <v>6</v>
      </c>
      <c r="B17" s="190"/>
      <c r="C17" s="61" t="s">
        <v>92</v>
      </c>
      <c r="D17" s="59"/>
      <c r="E17" s="59"/>
      <c r="F17" s="59"/>
      <c r="G17" s="59"/>
      <c r="H17" s="59"/>
      <c r="I17" s="59"/>
      <c r="J17" s="59"/>
      <c r="K17" s="60"/>
      <c r="L17" s="191" t="s">
        <v>98</v>
      </c>
      <c r="M17" s="192"/>
      <c r="N17" s="192"/>
      <c r="O17" s="192"/>
      <c r="P17" s="192"/>
      <c r="Q17" s="192"/>
      <c r="R17" s="192"/>
      <c r="S17" s="193"/>
      <c r="T17" s="194" t="s">
        <v>42</v>
      </c>
      <c r="U17" s="195"/>
      <c r="V17" s="196"/>
      <c r="W17" s="197" t="s">
        <v>91</v>
      </c>
      <c r="X17" s="198"/>
      <c r="Y17" s="197">
        <v>4</v>
      </c>
      <c r="Z17" s="198"/>
      <c r="AA17" s="197"/>
      <c r="AB17" s="198"/>
      <c r="AC17" s="47"/>
      <c r="AD17" s="22"/>
      <c r="AE17" s="22"/>
      <c r="AF17" s="22"/>
      <c r="AG17" s="49"/>
      <c r="AH17" s="197"/>
      <c r="AI17" s="198"/>
      <c r="AJ17" s="199"/>
      <c r="AK17" s="200"/>
      <c r="AL17" s="197"/>
      <c r="AM17" s="201"/>
      <c r="AN17" s="198"/>
      <c r="AO17" s="192"/>
      <c r="AP17" s="192"/>
      <c r="AQ17" s="192"/>
      <c r="AR17" s="192"/>
      <c r="AS17" s="192"/>
      <c r="AT17" s="192"/>
      <c r="AU17" s="192"/>
      <c r="AV17" s="192"/>
      <c r="AW17" s="192"/>
      <c r="AX17" s="192"/>
      <c r="AY17" s="193"/>
    </row>
    <row r="18" spans="1:51">
      <c r="A18" s="189">
        <f t="shared" si="0"/>
        <v>7</v>
      </c>
      <c r="B18" s="190"/>
      <c r="C18" s="61" t="s">
        <v>100</v>
      </c>
      <c r="D18" s="59"/>
      <c r="E18" s="59"/>
      <c r="F18" s="59"/>
      <c r="G18" s="59"/>
      <c r="H18" s="59"/>
      <c r="I18" s="59"/>
      <c r="J18" s="59"/>
      <c r="K18" s="60"/>
      <c r="L18" s="191" t="s">
        <v>103</v>
      </c>
      <c r="M18" s="192"/>
      <c r="N18" s="192"/>
      <c r="O18" s="192"/>
      <c r="P18" s="192"/>
      <c r="Q18" s="192"/>
      <c r="R18" s="192"/>
      <c r="S18" s="193"/>
      <c r="T18" s="194" t="s">
        <v>41</v>
      </c>
      <c r="U18" s="195"/>
      <c r="V18" s="196"/>
      <c r="W18" s="197" t="s">
        <v>43</v>
      </c>
      <c r="X18" s="198"/>
      <c r="Y18" s="197">
        <v>8</v>
      </c>
      <c r="Z18" s="198"/>
      <c r="AA18" s="197"/>
      <c r="AB18" s="198"/>
      <c r="AC18" s="47"/>
      <c r="AD18" s="22"/>
      <c r="AE18" s="22"/>
      <c r="AF18" s="22"/>
      <c r="AG18" s="49"/>
      <c r="AH18" s="197"/>
      <c r="AI18" s="198"/>
      <c r="AJ18" s="199"/>
      <c r="AK18" s="200"/>
      <c r="AL18" s="197"/>
      <c r="AM18" s="201"/>
      <c r="AN18" s="198"/>
      <c r="AO18" s="192"/>
      <c r="AP18" s="192"/>
      <c r="AQ18" s="192"/>
      <c r="AR18" s="192"/>
      <c r="AS18" s="192"/>
      <c r="AT18" s="192"/>
      <c r="AU18" s="192"/>
      <c r="AV18" s="192"/>
      <c r="AW18" s="192"/>
      <c r="AX18" s="192"/>
      <c r="AY18" s="193"/>
    </row>
    <row r="19" spans="1:51">
      <c r="A19" s="189">
        <f t="shared" si="0"/>
        <v>8</v>
      </c>
      <c r="B19" s="190"/>
      <c r="C19" s="61" t="s">
        <v>101</v>
      </c>
      <c r="D19" s="59"/>
      <c r="E19" s="59"/>
      <c r="F19" s="59"/>
      <c r="G19" s="59"/>
      <c r="H19" s="59"/>
      <c r="I19" s="59"/>
      <c r="J19" s="59"/>
      <c r="K19" s="60"/>
      <c r="L19" s="191" t="s">
        <v>104</v>
      </c>
      <c r="M19" s="192"/>
      <c r="N19" s="192"/>
      <c r="O19" s="192"/>
      <c r="P19" s="192"/>
      <c r="Q19" s="192"/>
      <c r="R19" s="192"/>
      <c r="S19" s="193"/>
      <c r="T19" s="194" t="s">
        <v>40</v>
      </c>
      <c r="U19" s="195"/>
      <c r="V19" s="196"/>
      <c r="W19" s="197">
        <v>60</v>
      </c>
      <c r="X19" s="198"/>
      <c r="Y19" s="197">
        <v>60</v>
      </c>
      <c r="Z19" s="198"/>
      <c r="AA19" s="197"/>
      <c r="AB19" s="198"/>
      <c r="AC19" s="47"/>
      <c r="AD19" s="22"/>
      <c r="AE19" s="22"/>
      <c r="AF19" s="22"/>
      <c r="AG19" s="49"/>
      <c r="AH19" s="197"/>
      <c r="AI19" s="198"/>
      <c r="AJ19" s="199"/>
      <c r="AK19" s="200"/>
      <c r="AL19" s="197"/>
      <c r="AM19" s="201"/>
      <c r="AN19" s="198"/>
      <c r="AO19" s="192"/>
      <c r="AP19" s="192"/>
      <c r="AQ19" s="192"/>
      <c r="AR19" s="192"/>
      <c r="AS19" s="192"/>
      <c r="AT19" s="192"/>
      <c r="AU19" s="192"/>
      <c r="AV19" s="192"/>
      <c r="AW19" s="192"/>
      <c r="AX19" s="192"/>
      <c r="AY19" s="193"/>
    </row>
    <row r="20" spans="1:51">
      <c r="A20" s="189">
        <f t="shared" si="0"/>
        <v>9</v>
      </c>
      <c r="B20" s="190"/>
      <c r="C20" s="61" t="s">
        <v>102</v>
      </c>
      <c r="D20" s="59"/>
      <c r="E20" s="59"/>
      <c r="F20" s="59"/>
      <c r="G20" s="59"/>
      <c r="H20" s="59"/>
      <c r="I20" s="59"/>
      <c r="J20" s="59"/>
      <c r="K20" s="60"/>
      <c r="L20" s="191" t="s">
        <v>105</v>
      </c>
      <c r="M20" s="192"/>
      <c r="N20" s="192"/>
      <c r="O20" s="192"/>
      <c r="P20" s="192"/>
      <c r="Q20" s="192"/>
      <c r="R20" s="192"/>
      <c r="S20" s="193"/>
      <c r="T20" s="194" t="s">
        <v>42</v>
      </c>
      <c r="U20" s="195"/>
      <c r="V20" s="196"/>
      <c r="W20" s="197" t="s">
        <v>91</v>
      </c>
      <c r="X20" s="198"/>
      <c r="Y20" s="197">
        <v>4</v>
      </c>
      <c r="Z20" s="198"/>
      <c r="AA20" s="197"/>
      <c r="AB20" s="198"/>
      <c r="AC20" s="47"/>
      <c r="AD20" s="22"/>
      <c r="AE20" s="22"/>
      <c r="AF20" s="22"/>
      <c r="AG20" s="49"/>
      <c r="AH20" s="197"/>
      <c r="AI20" s="198"/>
      <c r="AJ20" s="199"/>
      <c r="AK20" s="200"/>
      <c r="AL20" s="197"/>
      <c r="AM20" s="201"/>
      <c r="AN20" s="198"/>
      <c r="AO20" s="192"/>
      <c r="AP20" s="192"/>
      <c r="AQ20" s="192"/>
      <c r="AR20" s="192"/>
      <c r="AS20" s="192"/>
      <c r="AT20" s="192"/>
      <c r="AU20" s="192"/>
      <c r="AV20" s="192"/>
      <c r="AW20" s="192"/>
      <c r="AX20" s="192"/>
      <c r="AY20" s="193"/>
    </row>
    <row r="21" spans="1:51">
      <c r="A21" s="189">
        <f>ROW()-11</f>
        <v>10</v>
      </c>
      <c r="B21" s="190"/>
      <c r="C21" s="61" t="s">
        <v>86</v>
      </c>
      <c r="D21" s="59"/>
      <c r="E21" s="59"/>
      <c r="F21" s="59"/>
      <c r="G21" s="59"/>
      <c r="H21" s="59"/>
      <c r="I21" s="59"/>
      <c r="J21" s="59"/>
      <c r="K21" s="60"/>
      <c r="L21" s="191" t="s">
        <v>99</v>
      </c>
      <c r="M21" s="192"/>
      <c r="N21" s="192"/>
      <c r="O21" s="192"/>
      <c r="P21" s="192"/>
      <c r="Q21" s="192"/>
      <c r="R21" s="192"/>
      <c r="S21" s="193"/>
      <c r="T21" s="194" t="s">
        <v>42</v>
      </c>
      <c r="U21" s="195"/>
      <c r="V21" s="196"/>
      <c r="W21" s="197">
        <v>1</v>
      </c>
      <c r="X21" s="198"/>
      <c r="Y21" s="197">
        <v>1</v>
      </c>
      <c r="Z21" s="198"/>
      <c r="AA21" s="197"/>
      <c r="AB21" s="198"/>
      <c r="AC21" s="47"/>
      <c r="AD21" s="22"/>
      <c r="AE21" s="22"/>
      <c r="AF21" s="22"/>
      <c r="AG21" s="49"/>
      <c r="AH21" s="197"/>
      <c r="AI21" s="198"/>
      <c r="AJ21" s="199"/>
      <c r="AK21" s="200"/>
      <c r="AL21" s="197">
        <v>0</v>
      </c>
      <c r="AM21" s="201"/>
      <c r="AN21" s="198"/>
      <c r="AO21" s="192" t="s">
        <v>44</v>
      </c>
      <c r="AP21" s="192"/>
      <c r="AQ21" s="192"/>
      <c r="AR21" s="192"/>
      <c r="AS21" s="192"/>
      <c r="AT21" s="192"/>
      <c r="AU21" s="192"/>
      <c r="AV21" s="192"/>
      <c r="AW21" s="192"/>
      <c r="AX21" s="192"/>
      <c r="AY21" s="193"/>
    </row>
    <row r="22" spans="1:51">
      <c r="A22" s="202">
        <f t="shared" si="0"/>
        <v>11</v>
      </c>
      <c r="B22" s="204"/>
      <c r="C22" s="48" t="s">
        <v>157</v>
      </c>
      <c r="D22" s="42"/>
      <c r="E22" s="42"/>
      <c r="F22" s="42"/>
      <c r="G22" s="42"/>
      <c r="H22" s="42"/>
      <c r="I22" s="42"/>
      <c r="J22" s="42"/>
      <c r="K22" s="44"/>
      <c r="L22" s="48" t="s">
        <v>157</v>
      </c>
      <c r="M22" s="42"/>
      <c r="N22" s="42"/>
      <c r="O22" s="42"/>
      <c r="P22" s="42"/>
      <c r="Q22" s="42"/>
      <c r="R22" s="42"/>
      <c r="S22" s="44"/>
      <c r="T22" s="207" t="s">
        <v>42</v>
      </c>
      <c r="U22" s="208"/>
      <c r="V22" s="209"/>
      <c r="W22" s="220" t="s">
        <v>129</v>
      </c>
      <c r="X22" s="221"/>
      <c r="Y22" s="220">
        <v>6</v>
      </c>
      <c r="Z22" s="221"/>
      <c r="AA22" s="215">
        <v>1</v>
      </c>
      <c r="AB22" s="216"/>
      <c r="AC22" s="46"/>
      <c r="AD22" s="24"/>
      <c r="AE22" s="24"/>
      <c r="AF22" s="24"/>
      <c r="AG22" s="51"/>
      <c r="AH22" s="215"/>
      <c r="AI22" s="216"/>
      <c r="AJ22" s="212" t="s">
        <v>128</v>
      </c>
      <c r="AK22" s="213"/>
      <c r="AL22" s="215"/>
      <c r="AM22" s="217"/>
      <c r="AN22" s="216"/>
      <c r="AO22" s="205"/>
      <c r="AP22" s="205"/>
      <c r="AQ22" s="205"/>
      <c r="AR22" s="205"/>
      <c r="AS22" s="205"/>
      <c r="AT22" s="205"/>
      <c r="AU22" s="205"/>
      <c r="AV22" s="205"/>
      <c r="AW22" s="205"/>
      <c r="AX22" s="205"/>
      <c r="AY22" s="206"/>
    </row>
    <row r="23" spans="1:51">
      <c r="A23" s="202">
        <f t="shared" si="0"/>
        <v>12</v>
      </c>
      <c r="B23" s="204"/>
      <c r="C23" s="48" t="s">
        <v>138</v>
      </c>
      <c r="D23" s="42"/>
      <c r="E23" s="42"/>
      <c r="F23" s="42"/>
      <c r="G23" s="42"/>
      <c r="H23" s="42"/>
      <c r="I23" s="42"/>
      <c r="J23" s="42"/>
      <c r="K23" s="44"/>
      <c r="L23" s="48" t="s">
        <v>138</v>
      </c>
      <c r="M23" s="42"/>
      <c r="N23" s="42"/>
      <c r="O23" s="42"/>
      <c r="P23" s="42"/>
      <c r="Q23" s="42"/>
      <c r="R23" s="42"/>
      <c r="S23" s="44"/>
      <c r="T23" s="207" t="s">
        <v>40</v>
      </c>
      <c r="U23" s="208"/>
      <c r="V23" s="209"/>
      <c r="W23" s="202">
        <v>60</v>
      </c>
      <c r="X23" s="204"/>
      <c r="Y23" s="202">
        <v>60</v>
      </c>
      <c r="Z23" s="204"/>
      <c r="AA23" s="202"/>
      <c r="AB23" s="204"/>
      <c r="AC23" s="46"/>
      <c r="AD23" s="24"/>
      <c r="AE23" s="24"/>
      <c r="AF23" s="24"/>
      <c r="AG23" s="51"/>
      <c r="AH23" s="202"/>
      <c r="AI23" s="204"/>
      <c r="AJ23" s="212"/>
      <c r="AK23" s="213"/>
      <c r="AL23" s="202"/>
      <c r="AM23" s="203"/>
      <c r="AN23" s="204"/>
      <c r="AO23" s="205"/>
      <c r="AP23" s="205"/>
      <c r="AQ23" s="205"/>
      <c r="AR23" s="205"/>
      <c r="AS23" s="205"/>
      <c r="AT23" s="205"/>
      <c r="AU23" s="205"/>
      <c r="AV23" s="205"/>
      <c r="AW23" s="205"/>
      <c r="AX23" s="205"/>
      <c r="AY23" s="206"/>
    </row>
    <row r="24" spans="1:51">
      <c r="A24" s="202">
        <f t="shared" si="0"/>
        <v>13</v>
      </c>
      <c r="B24" s="204"/>
      <c r="C24" s="48" t="s">
        <v>139</v>
      </c>
      <c r="D24" s="42"/>
      <c r="E24" s="42"/>
      <c r="F24" s="42"/>
      <c r="G24" s="42"/>
      <c r="H24" s="42"/>
      <c r="I24" s="42"/>
      <c r="J24" s="42"/>
      <c r="K24" s="44"/>
      <c r="L24" s="48" t="s">
        <v>139</v>
      </c>
      <c r="M24" s="42"/>
      <c r="N24" s="42"/>
      <c r="O24" s="42"/>
      <c r="P24" s="42"/>
      <c r="Q24" s="42"/>
      <c r="R24" s="42"/>
      <c r="S24" s="44"/>
      <c r="T24" s="207" t="s">
        <v>40</v>
      </c>
      <c r="U24" s="208"/>
      <c r="V24" s="209"/>
      <c r="W24" s="202">
        <v>60</v>
      </c>
      <c r="X24" s="204"/>
      <c r="Y24" s="202">
        <v>60</v>
      </c>
      <c r="Z24" s="204"/>
      <c r="AA24" s="202"/>
      <c r="AB24" s="204"/>
      <c r="AC24" s="46"/>
      <c r="AD24" s="24"/>
      <c r="AE24" s="24"/>
      <c r="AF24" s="24"/>
      <c r="AG24" s="51"/>
      <c r="AH24" s="202"/>
      <c r="AI24" s="204"/>
      <c r="AJ24" s="100"/>
      <c r="AK24" s="102"/>
      <c r="AL24" s="202"/>
      <c r="AM24" s="203"/>
      <c r="AN24" s="204"/>
      <c r="AO24" s="205"/>
      <c r="AP24" s="205"/>
      <c r="AQ24" s="205"/>
      <c r="AR24" s="205"/>
      <c r="AS24" s="205"/>
      <c r="AT24" s="205"/>
      <c r="AU24" s="205"/>
      <c r="AV24" s="205"/>
      <c r="AW24" s="205"/>
      <c r="AX24" s="205"/>
      <c r="AY24" s="206"/>
    </row>
    <row r="25" spans="1:51">
      <c r="A25" s="202">
        <f t="shared" si="0"/>
        <v>14</v>
      </c>
      <c r="B25" s="204"/>
      <c r="C25" s="48" t="s">
        <v>159</v>
      </c>
      <c r="D25" s="42"/>
      <c r="E25" s="42"/>
      <c r="F25" s="42"/>
      <c r="G25" s="42"/>
      <c r="H25" s="42"/>
      <c r="I25" s="42"/>
      <c r="J25" s="42"/>
      <c r="K25" s="44"/>
      <c r="L25" s="48" t="s">
        <v>159</v>
      </c>
      <c r="M25" s="42"/>
      <c r="N25" s="42"/>
      <c r="O25" s="42"/>
      <c r="P25" s="42"/>
      <c r="Q25" s="42"/>
      <c r="R25" s="42"/>
      <c r="S25" s="44"/>
      <c r="T25" s="207" t="s">
        <v>42</v>
      </c>
      <c r="U25" s="208"/>
      <c r="V25" s="209"/>
      <c r="W25" s="202" t="s">
        <v>127</v>
      </c>
      <c r="X25" s="204"/>
      <c r="Y25" s="202">
        <v>2</v>
      </c>
      <c r="Z25" s="204"/>
      <c r="AA25" s="202"/>
      <c r="AB25" s="204"/>
      <c r="AC25" s="45"/>
      <c r="AD25" s="23"/>
      <c r="AE25" s="23"/>
      <c r="AF25" s="23"/>
      <c r="AG25" s="50"/>
      <c r="AH25" s="202"/>
      <c r="AI25" s="204"/>
      <c r="AJ25" s="100"/>
      <c r="AK25" s="102"/>
      <c r="AL25" s="202"/>
      <c r="AM25" s="203"/>
      <c r="AN25" s="204"/>
      <c r="AO25" s="205"/>
      <c r="AP25" s="205"/>
      <c r="AQ25" s="205"/>
      <c r="AR25" s="205"/>
      <c r="AS25" s="205"/>
      <c r="AT25" s="205"/>
      <c r="AU25" s="205"/>
      <c r="AV25" s="205"/>
      <c r="AW25" s="205"/>
      <c r="AX25" s="205"/>
      <c r="AY25" s="206"/>
    </row>
    <row r="26" spans="1:51">
      <c r="A26" s="202">
        <f t="shared" si="0"/>
        <v>15</v>
      </c>
      <c r="B26" s="204"/>
      <c r="C26" s="48" t="s">
        <v>158</v>
      </c>
      <c r="D26" s="42"/>
      <c r="E26" s="42"/>
      <c r="F26" s="42"/>
      <c r="G26" s="42"/>
      <c r="H26" s="42"/>
      <c r="I26" s="42"/>
      <c r="J26" s="42"/>
      <c r="K26" s="44"/>
      <c r="L26" s="48" t="s">
        <v>158</v>
      </c>
      <c r="M26" s="42"/>
      <c r="N26" s="42"/>
      <c r="O26" s="42"/>
      <c r="P26" s="42"/>
      <c r="Q26" s="42"/>
      <c r="R26" s="42"/>
      <c r="S26" s="44"/>
      <c r="T26" s="207" t="s">
        <v>42</v>
      </c>
      <c r="U26" s="208"/>
      <c r="V26" s="209"/>
      <c r="W26" s="202" t="s">
        <v>130</v>
      </c>
      <c r="X26" s="204"/>
      <c r="Y26" s="202">
        <v>1</v>
      </c>
      <c r="Z26" s="204"/>
      <c r="AA26" s="215"/>
      <c r="AB26" s="216"/>
      <c r="AC26" s="46"/>
      <c r="AD26" s="24"/>
      <c r="AE26" s="24"/>
      <c r="AF26" s="24"/>
      <c r="AG26" s="51"/>
      <c r="AH26" s="215"/>
      <c r="AI26" s="216"/>
      <c r="AJ26" s="100"/>
      <c r="AK26" s="102"/>
      <c r="AL26" s="215"/>
      <c r="AM26" s="217"/>
      <c r="AN26" s="216"/>
      <c r="AO26" s="205"/>
      <c r="AP26" s="205"/>
      <c r="AQ26" s="205"/>
      <c r="AR26" s="205"/>
      <c r="AS26" s="205"/>
      <c r="AT26" s="205"/>
      <c r="AU26" s="205"/>
      <c r="AV26" s="205"/>
      <c r="AW26" s="205"/>
      <c r="AX26" s="205"/>
      <c r="AY26" s="206"/>
    </row>
    <row r="27" spans="1:51">
      <c r="A27" s="218">
        <f t="shared" si="0"/>
        <v>16</v>
      </c>
      <c r="B27" s="219"/>
      <c r="C27" s="48" t="s">
        <v>169</v>
      </c>
      <c r="D27" s="42"/>
      <c r="E27" s="42"/>
      <c r="F27" s="42"/>
      <c r="G27" s="42"/>
      <c r="H27" s="42"/>
      <c r="I27" s="42"/>
      <c r="J27" s="42"/>
      <c r="K27" s="44"/>
      <c r="L27" s="48" t="s">
        <v>168</v>
      </c>
      <c r="M27" s="42"/>
      <c r="N27" s="42"/>
      <c r="O27" s="42"/>
      <c r="P27" s="42"/>
      <c r="Q27" s="42"/>
      <c r="R27" s="42"/>
      <c r="S27" s="44"/>
      <c r="T27" s="207" t="s">
        <v>42</v>
      </c>
      <c r="U27" s="208"/>
      <c r="V27" s="209"/>
      <c r="W27" s="202" t="s">
        <v>130</v>
      </c>
      <c r="X27" s="204"/>
      <c r="Y27" s="202">
        <v>1</v>
      </c>
      <c r="Z27" s="204"/>
      <c r="AA27" s="202"/>
      <c r="AB27" s="204"/>
      <c r="AC27" s="45"/>
      <c r="AD27" s="23"/>
      <c r="AE27" s="23"/>
      <c r="AF27" s="23"/>
      <c r="AG27" s="50"/>
      <c r="AH27" s="202"/>
      <c r="AI27" s="204"/>
      <c r="AJ27" s="100"/>
      <c r="AK27" s="102"/>
      <c r="AL27" s="202"/>
      <c r="AM27" s="203"/>
      <c r="AN27" s="204"/>
      <c r="AO27" s="205"/>
      <c r="AP27" s="205"/>
      <c r="AQ27" s="205"/>
      <c r="AR27" s="205"/>
      <c r="AS27" s="205"/>
      <c r="AT27" s="205"/>
      <c r="AU27" s="205"/>
      <c r="AV27" s="205"/>
      <c r="AW27" s="205"/>
      <c r="AX27" s="205"/>
      <c r="AY27" s="206"/>
    </row>
    <row r="28" spans="1:51">
      <c r="A28" s="218">
        <f t="shared" si="0"/>
        <v>17</v>
      </c>
      <c r="B28" s="219"/>
      <c r="C28" s="48" t="s">
        <v>140</v>
      </c>
      <c r="D28" s="42"/>
      <c r="E28" s="42"/>
      <c r="F28" s="42"/>
      <c r="G28" s="42"/>
      <c r="H28" s="42"/>
      <c r="I28" s="42"/>
      <c r="J28" s="42"/>
      <c r="K28" s="44"/>
      <c r="L28" s="48" t="s">
        <v>140</v>
      </c>
      <c r="M28" s="42"/>
      <c r="N28" s="42"/>
      <c r="O28" s="42"/>
      <c r="P28" s="42"/>
      <c r="Q28" s="42"/>
      <c r="R28" s="42"/>
      <c r="S28" s="44"/>
      <c r="T28" s="207" t="s">
        <v>40</v>
      </c>
      <c r="U28" s="208"/>
      <c r="V28" s="209"/>
      <c r="W28" s="202">
        <v>15</v>
      </c>
      <c r="X28" s="204"/>
      <c r="Y28" s="202">
        <v>15</v>
      </c>
      <c r="Z28" s="204"/>
      <c r="AA28" s="220"/>
      <c r="AB28" s="221"/>
      <c r="AC28" s="45"/>
      <c r="AD28" s="23"/>
      <c r="AE28" s="23"/>
      <c r="AF28" s="23"/>
      <c r="AG28" s="50"/>
      <c r="AH28" s="220"/>
      <c r="AI28" s="221"/>
      <c r="AJ28" s="223"/>
      <c r="AK28" s="224"/>
      <c r="AL28" s="220"/>
      <c r="AM28" s="222"/>
      <c r="AN28" s="221"/>
      <c r="AO28" s="205"/>
      <c r="AP28" s="205"/>
      <c r="AQ28" s="205"/>
      <c r="AR28" s="205"/>
      <c r="AS28" s="205"/>
      <c r="AT28" s="205"/>
      <c r="AU28" s="205"/>
      <c r="AV28" s="205"/>
      <c r="AW28" s="205"/>
      <c r="AX28" s="205"/>
      <c r="AY28" s="206"/>
    </row>
    <row r="29" spans="1:51">
      <c r="A29" s="218">
        <f t="shared" si="0"/>
        <v>18</v>
      </c>
      <c r="B29" s="219"/>
      <c r="C29" s="48"/>
      <c r="D29" s="42"/>
      <c r="E29" s="42"/>
      <c r="F29" s="42"/>
      <c r="G29" s="42"/>
      <c r="H29" s="42"/>
      <c r="I29" s="42"/>
      <c r="J29" s="42"/>
      <c r="K29" s="44"/>
      <c r="L29" s="48"/>
      <c r="M29" s="42"/>
      <c r="N29" s="42"/>
      <c r="O29" s="42"/>
      <c r="P29" s="42"/>
      <c r="Q29" s="42"/>
      <c r="R29" s="42"/>
      <c r="S29" s="44"/>
      <c r="T29" s="207"/>
      <c r="U29" s="208"/>
      <c r="V29" s="209"/>
      <c r="W29" s="202"/>
      <c r="X29" s="204"/>
      <c r="Y29" s="202"/>
      <c r="Z29" s="204"/>
      <c r="AA29" s="202"/>
      <c r="AB29" s="204"/>
      <c r="AC29" s="45"/>
      <c r="AD29" s="23"/>
      <c r="AE29" s="23"/>
      <c r="AF29" s="23"/>
      <c r="AG29" s="50"/>
      <c r="AH29" s="202"/>
      <c r="AI29" s="204"/>
      <c r="AJ29" s="100"/>
      <c r="AK29" s="102"/>
      <c r="AL29" s="202"/>
      <c r="AM29" s="203"/>
      <c r="AN29" s="204"/>
      <c r="AO29" s="205"/>
      <c r="AP29" s="205"/>
      <c r="AQ29" s="205"/>
      <c r="AR29" s="205"/>
      <c r="AS29" s="205"/>
      <c r="AT29" s="205"/>
      <c r="AU29" s="205"/>
      <c r="AV29" s="205"/>
      <c r="AW29" s="205"/>
      <c r="AX29" s="205"/>
      <c r="AY29" s="206"/>
    </row>
    <row r="30" spans="1:51">
      <c r="A30" s="218">
        <f t="shared" si="0"/>
        <v>19</v>
      </c>
      <c r="B30" s="219"/>
      <c r="C30" s="48"/>
      <c r="D30" s="42"/>
      <c r="E30" s="42"/>
      <c r="F30" s="42"/>
      <c r="G30" s="42"/>
      <c r="H30" s="42"/>
      <c r="I30" s="42"/>
      <c r="J30" s="42"/>
      <c r="K30" s="44"/>
      <c r="L30" s="48"/>
      <c r="M30" s="42"/>
      <c r="N30" s="42"/>
      <c r="O30" s="42"/>
      <c r="P30" s="42"/>
      <c r="Q30" s="42"/>
      <c r="R30" s="42"/>
      <c r="S30" s="44"/>
      <c r="T30" s="207"/>
      <c r="U30" s="208"/>
      <c r="V30" s="209"/>
      <c r="W30" s="202"/>
      <c r="X30" s="204"/>
      <c r="Y30" s="202"/>
      <c r="Z30" s="204"/>
      <c r="AA30" s="220"/>
      <c r="AB30" s="221"/>
      <c r="AC30" s="45"/>
      <c r="AD30" s="23"/>
      <c r="AE30" s="23"/>
      <c r="AF30" s="23"/>
      <c r="AG30" s="50"/>
      <c r="AH30" s="220"/>
      <c r="AI30" s="221"/>
      <c r="AJ30" s="223"/>
      <c r="AK30" s="224"/>
      <c r="AL30" s="220"/>
      <c r="AM30" s="222"/>
      <c r="AN30" s="221"/>
      <c r="AO30" s="205"/>
      <c r="AP30" s="205"/>
      <c r="AQ30" s="205"/>
      <c r="AR30" s="205"/>
      <c r="AS30" s="205"/>
      <c r="AT30" s="205"/>
      <c r="AU30" s="205"/>
      <c r="AV30" s="205"/>
      <c r="AW30" s="205"/>
      <c r="AX30" s="205"/>
      <c r="AY30" s="206"/>
    </row>
    <row r="31" spans="1:51">
      <c r="A31" s="218">
        <f t="shared" si="0"/>
        <v>20</v>
      </c>
      <c r="B31" s="219"/>
      <c r="C31" s="48"/>
      <c r="D31" s="42"/>
      <c r="E31" s="42"/>
      <c r="F31" s="42"/>
      <c r="G31" s="42"/>
      <c r="H31" s="42"/>
      <c r="I31" s="42"/>
      <c r="J31" s="42"/>
      <c r="K31" s="44"/>
      <c r="L31" s="48"/>
      <c r="M31" s="42"/>
      <c r="N31" s="42"/>
      <c r="O31" s="42"/>
      <c r="P31" s="42"/>
      <c r="Q31" s="42"/>
      <c r="R31" s="42"/>
      <c r="S31" s="44"/>
      <c r="T31" s="207"/>
      <c r="U31" s="208"/>
      <c r="V31" s="209"/>
      <c r="W31" s="202"/>
      <c r="X31" s="204"/>
      <c r="Y31" s="220"/>
      <c r="Z31" s="221"/>
      <c r="AA31" s="220"/>
      <c r="AB31" s="221"/>
      <c r="AC31" s="45"/>
      <c r="AD31" s="23"/>
      <c r="AE31" s="23"/>
      <c r="AF31" s="23"/>
      <c r="AG31" s="50"/>
      <c r="AH31" s="220"/>
      <c r="AI31" s="221"/>
      <c r="AJ31" s="223"/>
      <c r="AK31" s="224"/>
      <c r="AL31" s="220"/>
      <c r="AM31" s="222"/>
      <c r="AN31" s="221"/>
      <c r="AO31" s="205"/>
      <c r="AP31" s="205"/>
      <c r="AQ31" s="205"/>
      <c r="AR31" s="205"/>
      <c r="AS31" s="205"/>
      <c r="AT31" s="205"/>
      <c r="AU31" s="205"/>
      <c r="AV31" s="205"/>
      <c r="AW31" s="205"/>
      <c r="AX31" s="205"/>
      <c r="AY31" s="206"/>
    </row>
    <row r="32" spans="1:51">
      <c r="A32" s="218">
        <f t="shared" si="0"/>
        <v>21</v>
      </c>
      <c r="B32" s="219"/>
      <c r="C32" s="48"/>
      <c r="D32" s="42"/>
      <c r="E32" s="42"/>
      <c r="F32" s="42"/>
      <c r="G32" s="42"/>
      <c r="H32" s="42"/>
      <c r="I32" s="42"/>
      <c r="J32" s="42"/>
      <c r="K32" s="44"/>
      <c r="L32" s="48"/>
      <c r="M32" s="42"/>
      <c r="N32" s="42"/>
      <c r="O32" s="42"/>
      <c r="P32" s="42"/>
      <c r="Q32" s="42"/>
      <c r="R32" s="42"/>
      <c r="S32" s="44"/>
      <c r="T32" s="207"/>
      <c r="U32" s="208"/>
      <c r="V32" s="209"/>
      <c r="W32" s="202"/>
      <c r="X32" s="204"/>
      <c r="Y32" s="220"/>
      <c r="Z32" s="221"/>
      <c r="AA32" s="220"/>
      <c r="AB32" s="221"/>
      <c r="AC32" s="45"/>
      <c r="AD32" s="23"/>
      <c r="AE32" s="23"/>
      <c r="AF32" s="23"/>
      <c r="AG32" s="50"/>
      <c r="AH32" s="220"/>
      <c r="AI32" s="221"/>
      <c r="AJ32" s="223"/>
      <c r="AK32" s="224"/>
      <c r="AL32" s="220"/>
      <c r="AM32" s="222"/>
      <c r="AN32" s="221"/>
      <c r="AO32" s="205"/>
      <c r="AP32" s="205"/>
      <c r="AQ32" s="205"/>
      <c r="AR32" s="205"/>
      <c r="AS32" s="205"/>
      <c r="AT32" s="205"/>
      <c r="AU32" s="205"/>
      <c r="AV32" s="205"/>
      <c r="AW32" s="205"/>
      <c r="AX32" s="205"/>
      <c r="AY32" s="206"/>
    </row>
    <row r="33" spans="1:51">
      <c r="A33" s="218">
        <f t="shared" si="0"/>
        <v>22</v>
      </c>
      <c r="B33" s="219"/>
      <c r="C33" s="48"/>
      <c r="D33" s="42"/>
      <c r="E33" s="42"/>
      <c r="F33" s="42"/>
      <c r="G33" s="42"/>
      <c r="H33" s="42"/>
      <c r="I33" s="42"/>
      <c r="J33" s="42"/>
      <c r="K33" s="44"/>
      <c r="L33" s="48"/>
      <c r="M33" s="42"/>
      <c r="N33" s="42"/>
      <c r="O33" s="42"/>
      <c r="P33" s="42"/>
      <c r="Q33" s="42"/>
      <c r="R33" s="42"/>
      <c r="S33" s="44"/>
      <c r="T33" s="207"/>
      <c r="U33" s="208"/>
      <c r="V33" s="209"/>
      <c r="W33" s="202"/>
      <c r="X33" s="204"/>
      <c r="Y33" s="220"/>
      <c r="Z33" s="221"/>
      <c r="AA33" s="220"/>
      <c r="AB33" s="221"/>
      <c r="AC33" s="45"/>
      <c r="AD33" s="23"/>
      <c r="AE33" s="23"/>
      <c r="AF33" s="23"/>
      <c r="AG33" s="50"/>
      <c r="AH33" s="220"/>
      <c r="AI33" s="221"/>
      <c r="AJ33" s="223"/>
      <c r="AK33" s="224"/>
      <c r="AL33" s="220"/>
      <c r="AM33" s="222"/>
      <c r="AN33" s="221"/>
      <c r="AO33" s="205"/>
      <c r="AP33" s="205"/>
      <c r="AQ33" s="205"/>
      <c r="AR33" s="205"/>
      <c r="AS33" s="205"/>
      <c r="AT33" s="205"/>
      <c r="AU33" s="205"/>
      <c r="AV33" s="205"/>
      <c r="AW33" s="205"/>
      <c r="AX33" s="205"/>
      <c r="AY33" s="206"/>
    </row>
    <row r="34" spans="1:51">
      <c r="A34" s="218">
        <f t="shared" si="0"/>
        <v>23</v>
      </c>
      <c r="B34" s="219"/>
      <c r="C34" s="48"/>
      <c r="D34" s="42"/>
      <c r="E34" s="42"/>
      <c r="F34" s="42"/>
      <c r="G34" s="42"/>
      <c r="H34" s="42"/>
      <c r="I34" s="42"/>
      <c r="J34" s="42"/>
      <c r="K34" s="44"/>
      <c r="L34" s="48"/>
      <c r="M34" s="42"/>
      <c r="N34" s="42"/>
      <c r="O34" s="42"/>
      <c r="P34" s="42"/>
      <c r="Q34" s="42"/>
      <c r="R34" s="42"/>
      <c r="S34" s="44"/>
      <c r="T34" s="207"/>
      <c r="U34" s="208"/>
      <c r="V34" s="209"/>
      <c r="W34" s="202"/>
      <c r="X34" s="204"/>
      <c r="Y34" s="202"/>
      <c r="Z34" s="204"/>
      <c r="AA34" s="220"/>
      <c r="AB34" s="221"/>
      <c r="AC34" s="45"/>
      <c r="AD34" s="23"/>
      <c r="AE34" s="23"/>
      <c r="AF34" s="23"/>
      <c r="AG34" s="50"/>
      <c r="AH34" s="220"/>
      <c r="AI34" s="221"/>
      <c r="AJ34" s="223"/>
      <c r="AK34" s="224"/>
      <c r="AL34" s="220"/>
      <c r="AM34" s="222"/>
      <c r="AN34" s="221"/>
      <c r="AO34" s="205"/>
      <c r="AP34" s="205"/>
      <c r="AQ34" s="205"/>
      <c r="AR34" s="205"/>
      <c r="AS34" s="205"/>
      <c r="AT34" s="205"/>
      <c r="AU34" s="205"/>
      <c r="AV34" s="205"/>
      <c r="AW34" s="205"/>
      <c r="AX34" s="205"/>
      <c r="AY34" s="206"/>
    </row>
    <row r="35" spans="1:51">
      <c r="A35" s="218">
        <f t="shared" si="0"/>
        <v>24</v>
      </c>
      <c r="B35" s="219"/>
      <c r="C35" s="48"/>
      <c r="D35" s="42"/>
      <c r="E35" s="42"/>
      <c r="F35" s="42"/>
      <c r="G35" s="42"/>
      <c r="H35" s="42"/>
      <c r="I35" s="42"/>
      <c r="J35" s="42"/>
      <c r="K35" s="44"/>
      <c r="L35" s="48"/>
      <c r="M35" s="42"/>
      <c r="N35" s="42"/>
      <c r="O35" s="42"/>
      <c r="P35" s="42"/>
      <c r="Q35" s="42"/>
      <c r="R35" s="42"/>
      <c r="S35" s="44"/>
      <c r="T35" s="207"/>
      <c r="U35" s="208"/>
      <c r="V35" s="209"/>
      <c r="W35" s="202"/>
      <c r="X35" s="204"/>
      <c r="Y35" s="202"/>
      <c r="Z35" s="204"/>
      <c r="AA35" s="220"/>
      <c r="AB35" s="221"/>
      <c r="AC35" s="45"/>
      <c r="AD35" s="23"/>
      <c r="AE35" s="23"/>
      <c r="AF35" s="23"/>
      <c r="AG35" s="50"/>
      <c r="AH35" s="220"/>
      <c r="AI35" s="221"/>
      <c r="AJ35" s="223"/>
      <c r="AK35" s="224"/>
      <c r="AL35" s="220"/>
      <c r="AM35" s="222"/>
      <c r="AN35" s="221"/>
      <c r="AO35" s="205"/>
      <c r="AP35" s="205"/>
      <c r="AQ35" s="205"/>
      <c r="AR35" s="205"/>
      <c r="AS35" s="205"/>
      <c r="AT35" s="205"/>
      <c r="AU35" s="205"/>
      <c r="AV35" s="205"/>
      <c r="AW35" s="205"/>
      <c r="AX35" s="205"/>
      <c r="AY35" s="206"/>
    </row>
    <row r="36" spans="1:51">
      <c r="A36" s="218">
        <f t="shared" si="0"/>
        <v>25</v>
      </c>
      <c r="B36" s="219"/>
      <c r="C36" s="48"/>
      <c r="D36" s="42"/>
      <c r="E36" s="42"/>
      <c r="F36" s="42"/>
      <c r="G36" s="42"/>
      <c r="H36" s="42"/>
      <c r="I36" s="42"/>
      <c r="J36" s="42"/>
      <c r="K36" s="44"/>
      <c r="L36" s="48"/>
      <c r="M36" s="42"/>
      <c r="N36" s="42"/>
      <c r="O36" s="42"/>
      <c r="P36" s="42"/>
      <c r="Q36" s="42"/>
      <c r="R36" s="42"/>
      <c r="S36" s="44"/>
      <c r="T36" s="207"/>
      <c r="U36" s="208"/>
      <c r="V36" s="209"/>
      <c r="W36" s="202"/>
      <c r="X36" s="204"/>
      <c r="Y36" s="220"/>
      <c r="Z36" s="221"/>
      <c r="AA36" s="215"/>
      <c r="AB36" s="216"/>
      <c r="AC36" s="46"/>
      <c r="AD36" s="24"/>
      <c r="AE36" s="24"/>
      <c r="AF36" s="24"/>
      <c r="AG36" s="51"/>
      <c r="AH36" s="215"/>
      <c r="AI36" s="216"/>
      <c r="AJ36" s="212"/>
      <c r="AK36" s="213"/>
      <c r="AL36" s="215"/>
      <c r="AM36" s="217"/>
      <c r="AN36" s="216"/>
      <c r="AO36" s="205"/>
      <c r="AP36" s="205"/>
      <c r="AQ36" s="205"/>
      <c r="AR36" s="205"/>
      <c r="AS36" s="205"/>
      <c r="AT36" s="205"/>
      <c r="AU36" s="205"/>
      <c r="AV36" s="205"/>
      <c r="AW36" s="205"/>
      <c r="AX36" s="205"/>
      <c r="AY36" s="206"/>
    </row>
    <row r="37" spans="1:51">
      <c r="A37" s="202">
        <f t="shared" si="0"/>
        <v>26</v>
      </c>
      <c r="B37" s="204"/>
      <c r="C37" s="48"/>
      <c r="D37" s="42"/>
      <c r="E37" s="42"/>
      <c r="F37" s="42"/>
      <c r="G37" s="42"/>
      <c r="H37" s="42"/>
      <c r="I37" s="42"/>
      <c r="J37" s="42"/>
      <c r="K37" s="44"/>
      <c r="L37" s="48"/>
      <c r="M37" s="42"/>
      <c r="N37" s="42"/>
      <c r="O37" s="42"/>
      <c r="P37" s="42"/>
      <c r="Q37" s="42"/>
      <c r="R37" s="42"/>
      <c r="S37" s="44"/>
      <c r="T37" s="207"/>
      <c r="U37" s="208"/>
      <c r="V37" s="209"/>
      <c r="W37" s="202"/>
      <c r="X37" s="204"/>
      <c r="Y37" s="220"/>
      <c r="Z37" s="221"/>
      <c r="AA37" s="215"/>
      <c r="AB37" s="216"/>
      <c r="AC37" s="46"/>
      <c r="AD37" s="24"/>
      <c r="AE37" s="24"/>
      <c r="AF37" s="24"/>
      <c r="AG37" s="51"/>
      <c r="AH37" s="215"/>
      <c r="AI37" s="216"/>
      <c r="AJ37" s="212"/>
      <c r="AK37" s="213"/>
      <c r="AL37" s="215"/>
      <c r="AM37" s="217"/>
      <c r="AN37" s="216"/>
      <c r="AO37" s="205"/>
      <c r="AP37" s="205"/>
      <c r="AQ37" s="205"/>
      <c r="AR37" s="205"/>
      <c r="AS37" s="205"/>
      <c r="AT37" s="205"/>
      <c r="AU37" s="205"/>
      <c r="AV37" s="205"/>
      <c r="AW37" s="205"/>
      <c r="AX37" s="205"/>
      <c r="AY37" s="206"/>
    </row>
    <row r="38" spans="1:51">
      <c r="A38" s="218">
        <f t="shared" si="0"/>
        <v>27</v>
      </c>
      <c r="B38" s="219"/>
      <c r="C38" s="48"/>
      <c r="D38" s="42"/>
      <c r="E38" s="42"/>
      <c r="F38" s="42"/>
      <c r="G38" s="42"/>
      <c r="H38" s="42"/>
      <c r="I38" s="42"/>
      <c r="J38" s="42"/>
      <c r="K38" s="44"/>
      <c r="L38" s="48"/>
      <c r="M38" s="42"/>
      <c r="N38" s="42"/>
      <c r="O38" s="42"/>
      <c r="P38" s="42"/>
      <c r="Q38" s="42"/>
      <c r="R38" s="42"/>
      <c r="S38" s="44"/>
      <c r="T38" s="207"/>
      <c r="U38" s="208"/>
      <c r="V38" s="209"/>
      <c r="W38" s="202"/>
      <c r="X38" s="204"/>
      <c r="Y38" s="202"/>
      <c r="Z38" s="204"/>
      <c r="AA38" s="215"/>
      <c r="AB38" s="216"/>
      <c r="AC38" s="46"/>
      <c r="AD38" s="24"/>
      <c r="AE38" s="24"/>
      <c r="AF38" s="24"/>
      <c r="AG38" s="51"/>
      <c r="AH38" s="215"/>
      <c r="AI38" s="216"/>
      <c r="AJ38" s="212"/>
      <c r="AK38" s="213"/>
      <c r="AL38" s="215"/>
      <c r="AM38" s="217"/>
      <c r="AN38" s="216"/>
      <c r="AO38" s="205"/>
      <c r="AP38" s="205"/>
      <c r="AQ38" s="205"/>
      <c r="AR38" s="205"/>
      <c r="AS38" s="205"/>
      <c r="AT38" s="205"/>
      <c r="AU38" s="205"/>
      <c r="AV38" s="205"/>
      <c r="AW38" s="205"/>
      <c r="AX38" s="205"/>
      <c r="AY38" s="206"/>
    </row>
    <row r="39" spans="1:51">
      <c r="A39" s="202">
        <f t="shared" si="0"/>
        <v>28</v>
      </c>
      <c r="B39" s="204"/>
      <c r="C39" s="48"/>
      <c r="D39" s="42"/>
      <c r="E39" s="42"/>
      <c r="F39" s="42"/>
      <c r="G39" s="42"/>
      <c r="H39" s="42"/>
      <c r="I39" s="42"/>
      <c r="J39" s="42"/>
      <c r="K39" s="44"/>
      <c r="L39" s="48"/>
      <c r="M39" s="42"/>
      <c r="N39" s="42"/>
      <c r="O39" s="42"/>
      <c r="P39" s="42"/>
      <c r="Q39" s="42"/>
      <c r="R39" s="42"/>
      <c r="S39" s="44"/>
      <c r="T39" s="207"/>
      <c r="U39" s="208"/>
      <c r="V39" s="209"/>
      <c r="W39" s="220"/>
      <c r="X39" s="221"/>
      <c r="Y39" s="220"/>
      <c r="Z39" s="221"/>
      <c r="AA39" s="215"/>
      <c r="AB39" s="216"/>
      <c r="AC39" s="46"/>
      <c r="AD39" s="24"/>
      <c r="AE39" s="24"/>
      <c r="AF39" s="24"/>
      <c r="AG39" s="51"/>
      <c r="AH39" s="215"/>
      <c r="AI39" s="216"/>
      <c r="AJ39" s="212"/>
      <c r="AK39" s="213"/>
      <c r="AL39" s="215"/>
      <c r="AM39" s="217"/>
      <c r="AN39" s="216"/>
      <c r="AO39" s="205"/>
      <c r="AP39" s="205"/>
      <c r="AQ39" s="205"/>
      <c r="AR39" s="205"/>
      <c r="AS39" s="205"/>
      <c r="AT39" s="205"/>
      <c r="AU39" s="205"/>
      <c r="AV39" s="205"/>
      <c r="AW39" s="205"/>
      <c r="AX39" s="205"/>
      <c r="AY39" s="206"/>
    </row>
    <row r="40" spans="1:51">
      <c r="A40" s="202">
        <f t="shared" si="0"/>
        <v>29</v>
      </c>
      <c r="B40" s="204"/>
      <c r="C40" s="48"/>
      <c r="D40" s="42"/>
      <c r="E40" s="42"/>
      <c r="F40" s="42"/>
      <c r="G40" s="42"/>
      <c r="H40" s="42"/>
      <c r="I40" s="42"/>
      <c r="J40" s="42"/>
      <c r="K40" s="44"/>
      <c r="L40" s="48"/>
      <c r="M40" s="42"/>
      <c r="N40" s="42"/>
      <c r="O40" s="42"/>
      <c r="P40" s="42"/>
      <c r="Q40" s="42"/>
      <c r="R40" s="42"/>
      <c r="S40" s="44"/>
      <c r="T40" s="207"/>
      <c r="U40" s="208"/>
      <c r="V40" s="209"/>
      <c r="W40" s="220"/>
      <c r="X40" s="221"/>
      <c r="Y40" s="220"/>
      <c r="Z40" s="221"/>
      <c r="AA40" s="215"/>
      <c r="AB40" s="216"/>
      <c r="AC40" s="46"/>
      <c r="AD40" s="24"/>
      <c r="AE40" s="24"/>
      <c r="AF40" s="24"/>
      <c r="AG40" s="51"/>
      <c r="AH40" s="215"/>
      <c r="AI40" s="216"/>
      <c r="AJ40" s="212"/>
      <c r="AK40" s="213"/>
      <c r="AL40" s="215"/>
      <c r="AM40" s="217"/>
      <c r="AN40" s="216"/>
      <c r="AO40" s="205"/>
      <c r="AP40" s="205"/>
      <c r="AQ40" s="205"/>
      <c r="AR40" s="205"/>
      <c r="AS40" s="205"/>
      <c r="AT40" s="205"/>
      <c r="AU40" s="205"/>
      <c r="AV40" s="205"/>
      <c r="AW40" s="205"/>
      <c r="AX40" s="205"/>
      <c r="AY40" s="206"/>
    </row>
    <row r="41" spans="1:51">
      <c r="A41" s="218">
        <f t="shared" si="0"/>
        <v>30</v>
      </c>
      <c r="B41" s="219"/>
      <c r="C41" s="48"/>
      <c r="D41" s="42"/>
      <c r="E41" s="42"/>
      <c r="F41" s="42"/>
      <c r="G41" s="42"/>
      <c r="H41" s="42"/>
      <c r="I41" s="42"/>
      <c r="J41" s="42"/>
      <c r="K41" s="44"/>
      <c r="L41" s="48"/>
      <c r="M41" s="42"/>
      <c r="N41" s="42"/>
      <c r="O41" s="42"/>
      <c r="P41" s="42"/>
      <c r="Q41" s="42"/>
      <c r="R41" s="42"/>
      <c r="S41" s="44"/>
      <c r="T41" s="207"/>
      <c r="U41" s="208"/>
      <c r="V41" s="209"/>
      <c r="W41" s="220"/>
      <c r="X41" s="221"/>
      <c r="Y41" s="220"/>
      <c r="Z41" s="221"/>
      <c r="AA41" s="215"/>
      <c r="AB41" s="216"/>
      <c r="AC41" s="46"/>
      <c r="AD41" s="24"/>
      <c r="AE41" s="24"/>
      <c r="AF41" s="24"/>
      <c r="AG41" s="51"/>
      <c r="AH41" s="215"/>
      <c r="AI41" s="216"/>
      <c r="AJ41" s="212"/>
      <c r="AK41" s="213"/>
      <c r="AL41" s="215"/>
      <c r="AM41" s="217"/>
      <c r="AN41" s="216"/>
      <c r="AO41" s="205"/>
      <c r="AP41" s="205"/>
      <c r="AQ41" s="205"/>
      <c r="AR41" s="205"/>
      <c r="AS41" s="205"/>
      <c r="AT41" s="205"/>
      <c r="AU41" s="205"/>
      <c r="AV41" s="205"/>
      <c r="AW41" s="205"/>
      <c r="AX41" s="205"/>
      <c r="AY41" s="206"/>
    </row>
    <row r="42" spans="1:51">
      <c r="A42" s="202">
        <f t="shared" si="0"/>
        <v>31</v>
      </c>
      <c r="B42" s="204"/>
      <c r="C42" s="48"/>
      <c r="D42" s="42"/>
      <c r="E42" s="42"/>
      <c r="F42" s="42"/>
      <c r="G42" s="42"/>
      <c r="H42" s="42"/>
      <c r="I42" s="42"/>
      <c r="J42" s="42"/>
      <c r="K42" s="44"/>
      <c r="L42" s="48"/>
      <c r="M42" s="42"/>
      <c r="N42" s="42"/>
      <c r="O42" s="42"/>
      <c r="P42" s="42"/>
      <c r="Q42" s="42"/>
      <c r="R42" s="42"/>
      <c r="S42" s="44"/>
      <c r="T42" s="207"/>
      <c r="U42" s="208"/>
      <c r="V42" s="209"/>
      <c r="W42" s="220"/>
      <c r="X42" s="221"/>
      <c r="Y42" s="220"/>
      <c r="Z42" s="221"/>
      <c r="AA42" s="215"/>
      <c r="AB42" s="216"/>
      <c r="AC42" s="46"/>
      <c r="AD42" s="24"/>
      <c r="AE42" s="24"/>
      <c r="AF42" s="24"/>
      <c r="AG42" s="51"/>
      <c r="AH42" s="215"/>
      <c r="AI42" s="216"/>
      <c r="AJ42" s="212"/>
      <c r="AK42" s="213"/>
      <c r="AL42" s="215"/>
      <c r="AM42" s="217"/>
      <c r="AN42" s="216"/>
      <c r="AO42" s="205"/>
      <c r="AP42" s="205"/>
      <c r="AQ42" s="205"/>
      <c r="AR42" s="205"/>
      <c r="AS42" s="205"/>
      <c r="AT42" s="205"/>
      <c r="AU42" s="205"/>
      <c r="AV42" s="205"/>
      <c r="AW42" s="205"/>
      <c r="AX42" s="205"/>
      <c r="AY42" s="206"/>
    </row>
    <row r="43" spans="1:51">
      <c r="A43" s="202">
        <f t="shared" si="0"/>
        <v>32</v>
      </c>
      <c r="B43" s="204"/>
      <c r="C43" s="48"/>
      <c r="D43" s="42"/>
      <c r="E43" s="42"/>
      <c r="F43" s="42"/>
      <c r="G43" s="42"/>
      <c r="H43" s="42"/>
      <c r="I43" s="42"/>
      <c r="J43" s="42"/>
      <c r="K43" s="44"/>
      <c r="L43" s="48"/>
      <c r="M43" s="42"/>
      <c r="N43" s="42"/>
      <c r="O43" s="42"/>
      <c r="P43" s="42"/>
      <c r="Q43" s="42"/>
      <c r="R43" s="42"/>
      <c r="S43" s="44"/>
      <c r="T43" s="207"/>
      <c r="U43" s="208"/>
      <c r="V43" s="209"/>
      <c r="W43" s="220"/>
      <c r="X43" s="221"/>
      <c r="Y43" s="220"/>
      <c r="Z43" s="221"/>
      <c r="AA43" s="215"/>
      <c r="AB43" s="216"/>
      <c r="AC43" s="46"/>
      <c r="AD43" s="24"/>
      <c r="AE43" s="24"/>
      <c r="AF43" s="24"/>
      <c r="AG43" s="51"/>
      <c r="AH43" s="215"/>
      <c r="AI43" s="216"/>
      <c r="AJ43" s="212"/>
      <c r="AK43" s="213"/>
      <c r="AL43" s="215"/>
      <c r="AM43" s="217"/>
      <c r="AN43" s="216"/>
      <c r="AO43" s="205"/>
      <c r="AP43" s="205"/>
      <c r="AQ43" s="205"/>
      <c r="AR43" s="205"/>
      <c r="AS43" s="205"/>
      <c r="AT43" s="205"/>
      <c r="AU43" s="205"/>
      <c r="AV43" s="205"/>
      <c r="AW43" s="205"/>
      <c r="AX43" s="205"/>
      <c r="AY43" s="206"/>
    </row>
    <row r="44" spans="1:51">
      <c r="A44" s="202">
        <f t="shared" si="0"/>
        <v>33</v>
      </c>
      <c r="B44" s="204"/>
      <c r="C44" s="48"/>
      <c r="D44" s="42"/>
      <c r="E44" s="42"/>
      <c r="F44" s="42"/>
      <c r="G44" s="42"/>
      <c r="H44" s="42"/>
      <c r="I44" s="42"/>
      <c r="J44" s="42"/>
      <c r="K44" s="44"/>
      <c r="L44" s="48"/>
      <c r="M44" s="42"/>
      <c r="N44" s="42"/>
      <c r="O44" s="42"/>
      <c r="P44" s="42"/>
      <c r="Q44" s="42"/>
      <c r="R44" s="42"/>
      <c r="S44" s="44"/>
      <c r="T44" s="207"/>
      <c r="U44" s="208"/>
      <c r="V44" s="209"/>
      <c r="W44" s="220"/>
      <c r="X44" s="221"/>
      <c r="Y44" s="220"/>
      <c r="Z44" s="221"/>
      <c r="AA44" s="215"/>
      <c r="AB44" s="216"/>
      <c r="AC44" s="46"/>
      <c r="AD44" s="24"/>
      <c r="AE44" s="24"/>
      <c r="AF44" s="24"/>
      <c r="AG44" s="51"/>
      <c r="AH44" s="215"/>
      <c r="AI44" s="216"/>
      <c r="AJ44" s="212"/>
      <c r="AK44" s="213"/>
      <c r="AL44" s="215"/>
      <c r="AM44" s="217"/>
      <c r="AN44" s="216"/>
      <c r="AO44" s="205"/>
      <c r="AP44" s="205"/>
      <c r="AQ44" s="205"/>
      <c r="AR44" s="205"/>
      <c r="AS44" s="205"/>
      <c r="AT44" s="205"/>
      <c r="AU44" s="205"/>
      <c r="AV44" s="205"/>
      <c r="AW44" s="205"/>
      <c r="AX44" s="205"/>
      <c r="AY44" s="206"/>
    </row>
    <row r="45" spans="1:51">
      <c r="A45" s="202">
        <f t="shared" si="0"/>
        <v>34</v>
      </c>
      <c r="B45" s="204"/>
      <c r="C45" s="48"/>
      <c r="D45" s="42"/>
      <c r="E45" s="42"/>
      <c r="F45" s="42"/>
      <c r="G45" s="42"/>
      <c r="H45" s="42"/>
      <c r="I45" s="42"/>
      <c r="J45" s="42"/>
      <c r="K45" s="44"/>
      <c r="L45" s="48"/>
      <c r="M45" s="42"/>
      <c r="N45" s="42"/>
      <c r="O45" s="42"/>
      <c r="P45" s="42"/>
      <c r="Q45" s="42"/>
      <c r="R45" s="42"/>
      <c r="S45" s="44"/>
      <c r="T45" s="207"/>
      <c r="U45" s="208"/>
      <c r="V45" s="209"/>
      <c r="W45" s="220"/>
      <c r="X45" s="221"/>
      <c r="Y45" s="215"/>
      <c r="Z45" s="216"/>
      <c r="AA45" s="215"/>
      <c r="AB45" s="216"/>
      <c r="AC45" s="46"/>
      <c r="AD45" s="24"/>
      <c r="AE45" s="24"/>
      <c r="AF45" s="24"/>
      <c r="AG45" s="51"/>
      <c r="AH45" s="215"/>
      <c r="AI45" s="216"/>
      <c r="AJ45" s="212"/>
      <c r="AK45" s="213"/>
      <c r="AL45" s="215"/>
      <c r="AM45" s="217"/>
      <c r="AN45" s="216"/>
      <c r="AO45" s="205"/>
      <c r="AP45" s="205"/>
      <c r="AQ45" s="205"/>
      <c r="AR45" s="205"/>
      <c r="AS45" s="205"/>
      <c r="AT45" s="205"/>
      <c r="AU45" s="205"/>
      <c r="AV45" s="205"/>
      <c r="AW45" s="205"/>
      <c r="AX45" s="205"/>
      <c r="AY45" s="206"/>
    </row>
    <row r="46" spans="1:51">
      <c r="A46" s="210">
        <f t="shared" si="0"/>
        <v>35</v>
      </c>
      <c r="B46" s="211"/>
      <c r="C46" s="48"/>
      <c r="D46" s="42"/>
      <c r="E46" s="42"/>
      <c r="F46" s="42"/>
      <c r="G46" s="42"/>
      <c r="H46" s="42"/>
      <c r="I46" s="42"/>
      <c r="J46" s="42"/>
      <c r="K46" s="44"/>
      <c r="L46" s="48"/>
      <c r="M46" s="42"/>
      <c r="N46" s="42"/>
      <c r="O46" s="42"/>
      <c r="P46" s="42"/>
      <c r="Q46" s="42"/>
      <c r="R46" s="42"/>
      <c r="S46" s="44"/>
      <c r="T46" s="207"/>
      <c r="U46" s="208"/>
      <c r="V46" s="209"/>
      <c r="W46" s="220"/>
      <c r="X46" s="221"/>
      <c r="Y46" s="225"/>
      <c r="Z46" s="226"/>
      <c r="AA46" s="225"/>
      <c r="AB46" s="226"/>
      <c r="AC46" s="43"/>
      <c r="AD46" s="10"/>
      <c r="AE46" s="10"/>
      <c r="AF46" s="10"/>
      <c r="AG46" s="52"/>
      <c r="AH46" s="225"/>
      <c r="AI46" s="226"/>
      <c r="AJ46" s="227"/>
      <c r="AK46" s="228"/>
      <c r="AL46" s="225"/>
      <c r="AM46" s="229"/>
      <c r="AN46" s="226"/>
      <c r="AO46" s="230"/>
      <c r="AP46" s="230"/>
      <c r="AQ46" s="230"/>
      <c r="AR46" s="230"/>
      <c r="AS46" s="230"/>
      <c r="AT46" s="230"/>
      <c r="AU46" s="230"/>
      <c r="AV46" s="230"/>
      <c r="AW46" s="230"/>
      <c r="AX46" s="230"/>
      <c r="AY46" s="231"/>
    </row>
    <row r="47" spans="1:51">
      <c r="A47" s="210">
        <f t="shared" si="0"/>
        <v>36</v>
      </c>
      <c r="B47" s="211"/>
      <c r="C47" s="48"/>
      <c r="D47" s="42"/>
      <c r="E47" s="42"/>
      <c r="F47" s="42"/>
      <c r="G47" s="42"/>
      <c r="H47" s="42"/>
      <c r="I47" s="42"/>
      <c r="J47" s="42"/>
      <c r="K47" s="44"/>
      <c r="L47" s="48"/>
      <c r="M47" s="42"/>
      <c r="N47" s="42"/>
      <c r="O47" s="42"/>
      <c r="P47" s="42"/>
      <c r="Q47" s="42"/>
      <c r="R47" s="42"/>
      <c r="S47" s="44"/>
      <c r="T47" s="207"/>
      <c r="U47" s="208"/>
      <c r="V47" s="209"/>
      <c r="W47" s="220"/>
      <c r="X47" s="221"/>
      <c r="Y47" s="225"/>
      <c r="Z47" s="226"/>
      <c r="AA47" s="225"/>
      <c r="AB47" s="226"/>
      <c r="AC47" s="43"/>
      <c r="AD47" s="10"/>
      <c r="AE47" s="10"/>
      <c r="AF47" s="10"/>
      <c r="AG47" s="52"/>
      <c r="AH47" s="225"/>
      <c r="AI47" s="226"/>
      <c r="AJ47" s="227"/>
      <c r="AK47" s="228"/>
      <c r="AL47" s="225"/>
      <c r="AM47" s="229"/>
      <c r="AN47" s="226"/>
      <c r="AO47" s="230"/>
      <c r="AP47" s="230"/>
      <c r="AQ47" s="230"/>
      <c r="AR47" s="230"/>
      <c r="AS47" s="230"/>
      <c r="AT47" s="230"/>
      <c r="AU47" s="230"/>
      <c r="AV47" s="230"/>
      <c r="AW47" s="230"/>
      <c r="AX47" s="230"/>
      <c r="AY47" s="231"/>
    </row>
    <row r="48" spans="1:51">
      <c r="A48" s="210">
        <f t="shared" si="0"/>
        <v>37</v>
      </c>
      <c r="B48" s="211"/>
      <c r="C48" s="48"/>
      <c r="D48" s="42"/>
      <c r="E48" s="42"/>
      <c r="F48" s="42"/>
      <c r="G48" s="42"/>
      <c r="H48" s="42"/>
      <c r="I48" s="42"/>
      <c r="J48" s="42"/>
      <c r="K48" s="44"/>
      <c r="L48" s="48"/>
      <c r="M48" s="42"/>
      <c r="N48" s="42"/>
      <c r="O48" s="42"/>
      <c r="P48" s="42"/>
      <c r="Q48" s="42"/>
      <c r="R48" s="42"/>
      <c r="S48" s="44"/>
      <c r="T48" s="207"/>
      <c r="U48" s="208"/>
      <c r="V48" s="209"/>
      <c r="W48" s="220"/>
      <c r="X48" s="221"/>
      <c r="Y48" s="225"/>
      <c r="Z48" s="226"/>
      <c r="AA48" s="225"/>
      <c r="AB48" s="226"/>
      <c r="AC48" s="43"/>
      <c r="AD48" s="10"/>
      <c r="AE48" s="10"/>
      <c r="AF48" s="10"/>
      <c r="AG48" s="52"/>
      <c r="AH48" s="225"/>
      <c r="AI48" s="226"/>
      <c r="AJ48" s="227"/>
      <c r="AK48" s="228"/>
      <c r="AL48" s="225"/>
      <c r="AM48" s="229"/>
      <c r="AN48" s="226"/>
      <c r="AO48" s="230"/>
      <c r="AP48" s="230"/>
      <c r="AQ48" s="230"/>
      <c r="AR48" s="230"/>
      <c r="AS48" s="230"/>
      <c r="AT48" s="230"/>
      <c r="AU48" s="230"/>
      <c r="AV48" s="230"/>
      <c r="AW48" s="230"/>
      <c r="AX48" s="230"/>
      <c r="AY48" s="231"/>
    </row>
    <row r="49" spans="1:51">
      <c r="A49" s="210">
        <f t="shared" si="0"/>
        <v>38</v>
      </c>
      <c r="B49" s="211"/>
      <c r="C49" s="48"/>
      <c r="D49" s="42"/>
      <c r="E49" s="42"/>
      <c r="F49" s="42"/>
      <c r="G49" s="42"/>
      <c r="H49" s="42"/>
      <c r="I49" s="42"/>
      <c r="J49" s="42"/>
      <c r="K49" s="44"/>
      <c r="L49" s="48"/>
      <c r="M49" s="42"/>
      <c r="N49" s="42"/>
      <c r="O49" s="42"/>
      <c r="P49" s="42"/>
      <c r="Q49" s="42"/>
      <c r="R49" s="42"/>
      <c r="S49" s="44"/>
      <c r="T49" s="207"/>
      <c r="U49" s="208"/>
      <c r="V49" s="209"/>
      <c r="W49" s="220"/>
      <c r="X49" s="221"/>
      <c r="Y49" s="225"/>
      <c r="Z49" s="226"/>
      <c r="AA49" s="225"/>
      <c r="AB49" s="226"/>
      <c r="AC49" s="43"/>
      <c r="AD49" s="10"/>
      <c r="AE49" s="10"/>
      <c r="AF49" s="10"/>
      <c r="AG49" s="52"/>
      <c r="AH49" s="225"/>
      <c r="AI49" s="226"/>
      <c r="AJ49" s="227"/>
      <c r="AK49" s="228"/>
      <c r="AL49" s="225"/>
      <c r="AM49" s="229"/>
      <c r="AN49" s="226"/>
      <c r="AO49" s="230"/>
      <c r="AP49" s="230"/>
      <c r="AQ49" s="230"/>
      <c r="AR49" s="230"/>
      <c r="AS49" s="230"/>
      <c r="AT49" s="230"/>
      <c r="AU49" s="230"/>
      <c r="AV49" s="230"/>
      <c r="AW49" s="230"/>
      <c r="AX49" s="230"/>
      <c r="AY49" s="231"/>
    </row>
    <row r="50" spans="1:51">
      <c r="A50" s="210">
        <f t="shared" si="0"/>
        <v>39</v>
      </c>
      <c r="B50" s="211"/>
      <c r="C50" s="48"/>
      <c r="D50" s="42"/>
      <c r="E50" s="42"/>
      <c r="F50" s="42"/>
      <c r="G50" s="42"/>
      <c r="H50" s="42"/>
      <c r="I50" s="42"/>
      <c r="J50" s="42"/>
      <c r="K50" s="44"/>
      <c r="L50" s="48"/>
      <c r="M50" s="42"/>
      <c r="N50" s="42"/>
      <c r="O50" s="42"/>
      <c r="P50" s="42"/>
      <c r="Q50" s="42"/>
      <c r="R50" s="42"/>
      <c r="S50" s="44"/>
      <c r="T50" s="207"/>
      <c r="U50" s="208"/>
      <c r="V50" s="209"/>
      <c r="W50" s="220"/>
      <c r="X50" s="221"/>
      <c r="Y50" s="225"/>
      <c r="Z50" s="226"/>
      <c r="AA50" s="225"/>
      <c r="AB50" s="226"/>
      <c r="AC50" s="43"/>
      <c r="AD50" s="10"/>
      <c r="AE50" s="10"/>
      <c r="AF50" s="10"/>
      <c r="AG50" s="52"/>
      <c r="AH50" s="225"/>
      <c r="AI50" s="226"/>
      <c r="AJ50" s="227"/>
      <c r="AK50" s="228"/>
      <c r="AL50" s="225"/>
      <c r="AM50" s="229"/>
      <c r="AN50" s="226"/>
      <c r="AO50" s="230"/>
      <c r="AP50" s="230"/>
      <c r="AQ50" s="230"/>
      <c r="AR50" s="230"/>
      <c r="AS50" s="230"/>
      <c r="AT50" s="230"/>
      <c r="AU50" s="230"/>
      <c r="AV50" s="230"/>
      <c r="AW50" s="230"/>
      <c r="AX50" s="230"/>
      <c r="AY50" s="231"/>
    </row>
    <row r="51" spans="1:51">
      <c r="A51" s="210">
        <f t="shared" si="0"/>
        <v>40</v>
      </c>
      <c r="B51" s="211"/>
      <c r="C51" s="48"/>
      <c r="D51" s="42"/>
      <c r="E51" s="42"/>
      <c r="F51" s="42"/>
      <c r="G51" s="42"/>
      <c r="H51" s="42"/>
      <c r="I51" s="42"/>
      <c r="J51" s="42"/>
      <c r="K51" s="44"/>
      <c r="L51" s="48"/>
      <c r="M51" s="42"/>
      <c r="N51" s="42"/>
      <c r="O51" s="42"/>
      <c r="P51" s="42"/>
      <c r="Q51" s="42"/>
      <c r="R51" s="42"/>
      <c r="S51" s="44"/>
      <c r="T51" s="207"/>
      <c r="U51" s="208"/>
      <c r="V51" s="209"/>
      <c r="W51" s="220"/>
      <c r="X51" s="221"/>
      <c r="Y51" s="225"/>
      <c r="Z51" s="226"/>
      <c r="AA51" s="225"/>
      <c r="AB51" s="226"/>
      <c r="AC51" s="43"/>
      <c r="AD51" s="10"/>
      <c r="AE51" s="10"/>
      <c r="AF51" s="10"/>
      <c r="AG51" s="52"/>
      <c r="AH51" s="225"/>
      <c r="AI51" s="226"/>
      <c r="AJ51" s="227"/>
      <c r="AK51" s="228"/>
      <c r="AL51" s="225"/>
      <c r="AM51" s="229"/>
      <c r="AN51" s="226"/>
      <c r="AO51" s="230"/>
      <c r="AP51" s="230"/>
      <c r="AQ51" s="230"/>
      <c r="AR51" s="230"/>
      <c r="AS51" s="230"/>
      <c r="AT51" s="230"/>
      <c r="AU51" s="230"/>
      <c r="AV51" s="230"/>
      <c r="AW51" s="230"/>
      <c r="AX51" s="230"/>
      <c r="AY51" s="231"/>
    </row>
    <row r="52" spans="1:51">
      <c r="A52" s="210">
        <f t="shared" si="0"/>
        <v>41</v>
      </c>
      <c r="B52" s="211"/>
      <c r="C52" s="48"/>
      <c r="D52" s="42"/>
      <c r="E52" s="42"/>
      <c r="F52" s="42"/>
      <c r="G52" s="42"/>
      <c r="H52" s="42"/>
      <c r="I52" s="42"/>
      <c r="J52" s="42"/>
      <c r="K52" s="44"/>
      <c r="L52" s="48"/>
      <c r="M52" s="42"/>
      <c r="N52" s="42"/>
      <c r="O52" s="42"/>
      <c r="P52" s="42"/>
      <c r="Q52" s="42"/>
      <c r="R52" s="42"/>
      <c r="S52" s="44"/>
      <c r="T52" s="207"/>
      <c r="U52" s="208"/>
      <c r="V52" s="209"/>
      <c r="W52" s="225"/>
      <c r="X52" s="226"/>
      <c r="Y52" s="225"/>
      <c r="Z52" s="226"/>
      <c r="AA52" s="225"/>
      <c r="AB52" s="226"/>
      <c r="AC52" s="43"/>
      <c r="AD52" s="10"/>
      <c r="AE52" s="10"/>
      <c r="AF52" s="10"/>
      <c r="AG52" s="52"/>
      <c r="AH52" s="225"/>
      <c r="AI52" s="226"/>
      <c r="AJ52" s="227"/>
      <c r="AK52" s="228"/>
      <c r="AL52" s="225"/>
      <c r="AM52" s="229"/>
      <c r="AN52" s="226"/>
      <c r="AO52" s="230"/>
      <c r="AP52" s="230"/>
      <c r="AQ52" s="230"/>
      <c r="AR52" s="230"/>
      <c r="AS52" s="230"/>
      <c r="AT52" s="230"/>
      <c r="AU52" s="230"/>
      <c r="AV52" s="230"/>
      <c r="AW52" s="230"/>
      <c r="AX52" s="230"/>
      <c r="AY52" s="231"/>
    </row>
    <row r="53" spans="1:51">
      <c r="A53" s="210">
        <f t="shared" si="0"/>
        <v>42</v>
      </c>
      <c r="B53" s="211"/>
      <c r="C53" s="48"/>
      <c r="D53" s="42"/>
      <c r="E53" s="42"/>
      <c r="F53" s="42"/>
      <c r="G53" s="42"/>
      <c r="H53" s="42"/>
      <c r="I53" s="42"/>
      <c r="J53" s="42"/>
      <c r="K53" s="44"/>
      <c r="L53" s="48"/>
      <c r="M53" s="42"/>
      <c r="N53" s="42"/>
      <c r="O53" s="42"/>
      <c r="P53" s="42"/>
      <c r="Q53" s="42"/>
      <c r="R53" s="42"/>
      <c r="S53" s="44"/>
      <c r="T53" s="207"/>
      <c r="U53" s="208"/>
      <c r="V53" s="209"/>
      <c r="W53" s="225"/>
      <c r="X53" s="226"/>
      <c r="Y53" s="225"/>
      <c r="Z53" s="226"/>
      <c r="AA53" s="225"/>
      <c r="AB53" s="226"/>
      <c r="AC53" s="43"/>
      <c r="AD53" s="10"/>
      <c r="AE53" s="10"/>
      <c r="AF53" s="10"/>
      <c r="AG53" s="52"/>
      <c r="AH53" s="225"/>
      <c r="AI53" s="226"/>
      <c r="AJ53" s="227"/>
      <c r="AK53" s="228"/>
      <c r="AL53" s="225"/>
      <c r="AM53" s="229"/>
      <c r="AN53" s="226"/>
      <c r="AO53" s="230"/>
      <c r="AP53" s="230"/>
      <c r="AQ53" s="230"/>
      <c r="AR53" s="230"/>
      <c r="AS53" s="230"/>
      <c r="AT53" s="230"/>
      <c r="AU53" s="230"/>
      <c r="AV53" s="230"/>
      <c r="AW53" s="230"/>
      <c r="AX53" s="230"/>
      <c r="AY53" s="231"/>
    </row>
    <row r="54" spans="1:51">
      <c r="A54" s="210">
        <f t="shared" si="0"/>
        <v>43</v>
      </c>
      <c r="B54" s="211"/>
      <c r="C54" s="48"/>
      <c r="D54" s="42"/>
      <c r="E54" s="42"/>
      <c r="F54" s="42"/>
      <c r="G54" s="42"/>
      <c r="H54" s="42"/>
      <c r="I54" s="42"/>
      <c r="J54" s="42"/>
      <c r="K54" s="44"/>
      <c r="L54" s="48"/>
      <c r="M54" s="42"/>
      <c r="N54" s="42"/>
      <c r="O54" s="42"/>
      <c r="P54" s="42"/>
      <c r="Q54" s="42"/>
      <c r="R54" s="42"/>
      <c r="S54" s="44"/>
      <c r="T54" s="207"/>
      <c r="U54" s="208"/>
      <c r="V54" s="209"/>
      <c r="W54" s="225"/>
      <c r="X54" s="226"/>
      <c r="Y54" s="225"/>
      <c r="Z54" s="226"/>
      <c r="AA54" s="225"/>
      <c r="AB54" s="226"/>
      <c r="AC54" s="43"/>
      <c r="AD54" s="10"/>
      <c r="AE54" s="10"/>
      <c r="AF54" s="10"/>
      <c r="AG54" s="52"/>
      <c r="AH54" s="225"/>
      <c r="AI54" s="226"/>
      <c r="AJ54" s="227"/>
      <c r="AK54" s="228"/>
      <c r="AL54" s="225"/>
      <c r="AM54" s="229"/>
      <c r="AN54" s="226"/>
      <c r="AO54" s="230"/>
      <c r="AP54" s="230"/>
      <c r="AQ54" s="230"/>
      <c r="AR54" s="230"/>
      <c r="AS54" s="230"/>
      <c r="AT54" s="230"/>
      <c r="AU54" s="230"/>
      <c r="AV54" s="230"/>
      <c r="AW54" s="230"/>
      <c r="AX54" s="230"/>
      <c r="AY54" s="231"/>
    </row>
  </sheetData>
  <mergeCells count="455">
    <mergeCell ref="AJ54:AK54"/>
    <mergeCell ref="AL54:AN54"/>
    <mergeCell ref="AO54:AY54"/>
    <mergeCell ref="A54:B54"/>
    <mergeCell ref="T54:V54"/>
    <mergeCell ref="W54:X54"/>
    <mergeCell ref="Y54:Z54"/>
    <mergeCell ref="AA54:AB54"/>
    <mergeCell ref="AH54:AI54"/>
    <mergeCell ref="A53:B53"/>
    <mergeCell ref="T53:V53"/>
    <mergeCell ref="W53:X53"/>
    <mergeCell ref="Y53:Z53"/>
    <mergeCell ref="AA53:AB53"/>
    <mergeCell ref="AH53:AI53"/>
    <mergeCell ref="AJ53:AK53"/>
    <mergeCell ref="AL53:AN53"/>
    <mergeCell ref="AO53:AY53"/>
    <mergeCell ref="A52:B52"/>
    <mergeCell ref="T52:V52"/>
    <mergeCell ref="W52:X52"/>
    <mergeCell ref="Y52:Z52"/>
    <mergeCell ref="AA52:AB52"/>
    <mergeCell ref="AH52:AI52"/>
    <mergeCell ref="AJ52:AK52"/>
    <mergeCell ref="AL52:AN52"/>
    <mergeCell ref="AO52:AY52"/>
    <mergeCell ref="AJ50:AK50"/>
    <mergeCell ref="AL50:AN50"/>
    <mergeCell ref="AO50:AY50"/>
    <mergeCell ref="A51:B51"/>
    <mergeCell ref="T51:V51"/>
    <mergeCell ref="W51:X51"/>
    <mergeCell ref="Y51:Z51"/>
    <mergeCell ref="AA51:AB51"/>
    <mergeCell ref="AH51:AI51"/>
    <mergeCell ref="AJ51:AK51"/>
    <mergeCell ref="A50:B50"/>
    <mergeCell ref="T50:V50"/>
    <mergeCell ref="W50:X50"/>
    <mergeCell ref="Y50:Z50"/>
    <mergeCell ref="AA50:AB50"/>
    <mergeCell ref="AH50:AI50"/>
    <mergeCell ref="AL51:AN51"/>
    <mergeCell ref="AO51:AY51"/>
    <mergeCell ref="A49:B49"/>
    <mergeCell ref="T49:V49"/>
    <mergeCell ref="W49:X49"/>
    <mergeCell ref="Y49:Z49"/>
    <mergeCell ref="AA49:AB49"/>
    <mergeCell ref="AH49:AI49"/>
    <mergeCell ref="AJ49:AK49"/>
    <mergeCell ref="AL49:AN49"/>
    <mergeCell ref="AO49:AY49"/>
    <mergeCell ref="A48:B48"/>
    <mergeCell ref="T48:V48"/>
    <mergeCell ref="W48:X48"/>
    <mergeCell ref="Y48:Z48"/>
    <mergeCell ref="AA48:AB48"/>
    <mergeCell ref="AH48:AI48"/>
    <mergeCell ref="AJ48:AK48"/>
    <mergeCell ref="AL48:AN48"/>
    <mergeCell ref="AO48:AY48"/>
    <mergeCell ref="AJ46:AK46"/>
    <mergeCell ref="AL46:AN46"/>
    <mergeCell ref="AO46:AY46"/>
    <mergeCell ref="A47:B47"/>
    <mergeCell ref="T47:V47"/>
    <mergeCell ref="W47:X47"/>
    <mergeCell ref="Y47:Z47"/>
    <mergeCell ref="AA47:AB47"/>
    <mergeCell ref="AH47:AI47"/>
    <mergeCell ref="AJ47:AK47"/>
    <mergeCell ref="A46:B46"/>
    <mergeCell ref="T46:V46"/>
    <mergeCell ref="W46:X46"/>
    <mergeCell ref="Y46:Z46"/>
    <mergeCell ref="AA46:AB46"/>
    <mergeCell ref="AH46:AI46"/>
    <mergeCell ref="AL47:AN47"/>
    <mergeCell ref="AO47:AY47"/>
    <mergeCell ref="A45:B45"/>
    <mergeCell ref="T45:V45"/>
    <mergeCell ref="W45:X45"/>
    <mergeCell ref="Y45:Z45"/>
    <mergeCell ref="AA45:AB45"/>
    <mergeCell ref="AH45:AI45"/>
    <mergeCell ref="AJ45:AK45"/>
    <mergeCell ref="AL45:AN45"/>
    <mergeCell ref="AO45:AY45"/>
    <mergeCell ref="A44:B44"/>
    <mergeCell ref="T44:V44"/>
    <mergeCell ref="W44:X44"/>
    <mergeCell ref="Y44:Z44"/>
    <mergeCell ref="AA44:AB44"/>
    <mergeCell ref="AH44:AI44"/>
    <mergeCell ref="AJ44:AK44"/>
    <mergeCell ref="AL44:AN44"/>
    <mergeCell ref="AO44:AY44"/>
    <mergeCell ref="AJ42:AK42"/>
    <mergeCell ref="AL42:AN42"/>
    <mergeCell ref="AO42:AY42"/>
    <mergeCell ref="A43:B43"/>
    <mergeCell ref="T43:V43"/>
    <mergeCell ref="W43:X43"/>
    <mergeCell ref="Y43:Z43"/>
    <mergeCell ref="AA43:AB43"/>
    <mergeCell ref="AH43:AI43"/>
    <mergeCell ref="AJ43:AK43"/>
    <mergeCell ref="A42:B42"/>
    <mergeCell ref="T42:V42"/>
    <mergeCell ref="W42:X42"/>
    <mergeCell ref="Y42:Z42"/>
    <mergeCell ref="AA42:AB42"/>
    <mergeCell ref="AH42:AI42"/>
    <mergeCell ref="AL43:AN43"/>
    <mergeCell ref="AO43:AY43"/>
    <mergeCell ref="A41:B41"/>
    <mergeCell ref="T41:V41"/>
    <mergeCell ref="W41:X41"/>
    <mergeCell ref="Y41:Z41"/>
    <mergeCell ref="AA41:AB41"/>
    <mergeCell ref="AH41:AI41"/>
    <mergeCell ref="AJ41:AK41"/>
    <mergeCell ref="AL41:AN41"/>
    <mergeCell ref="AO41:AY41"/>
    <mergeCell ref="A40:B40"/>
    <mergeCell ref="T40:V40"/>
    <mergeCell ref="W40:X40"/>
    <mergeCell ref="Y40:Z40"/>
    <mergeCell ref="AA40:AB40"/>
    <mergeCell ref="AH40:AI40"/>
    <mergeCell ref="AJ40:AK40"/>
    <mergeCell ref="AL40:AN40"/>
    <mergeCell ref="AO40:AY40"/>
    <mergeCell ref="AJ38:AK38"/>
    <mergeCell ref="AL38:AN38"/>
    <mergeCell ref="AO38:AY38"/>
    <mergeCell ref="A39:B39"/>
    <mergeCell ref="T39:V39"/>
    <mergeCell ref="W39:X39"/>
    <mergeCell ref="Y39:Z39"/>
    <mergeCell ref="AA39:AB39"/>
    <mergeCell ref="AH39:AI39"/>
    <mergeCell ref="AJ39:AK39"/>
    <mergeCell ref="A38:B38"/>
    <mergeCell ref="T38:V38"/>
    <mergeCell ref="W38:X38"/>
    <mergeCell ref="Y38:Z38"/>
    <mergeCell ref="AA38:AB38"/>
    <mergeCell ref="AH38:AI38"/>
    <mergeCell ref="AL39:AN39"/>
    <mergeCell ref="AO39:AY39"/>
    <mergeCell ref="A37:B37"/>
    <mergeCell ref="T37:V37"/>
    <mergeCell ref="W37:X37"/>
    <mergeCell ref="Y37:Z37"/>
    <mergeCell ref="AA37:AB37"/>
    <mergeCell ref="AH37:AI37"/>
    <mergeCell ref="AJ37:AK37"/>
    <mergeCell ref="AL37:AN37"/>
    <mergeCell ref="AO37:AY37"/>
    <mergeCell ref="A36:B36"/>
    <mergeCell ref="T36:V36"/>
    <mergeCell ref="W36:X36"/>
    <mergeCell ref="Y36:Z36"/>
    <mergeCell ref="AA36:AB36"/>
    <mergeCell ref="AH36:AI36"/>
    <mergeCell ref="AJ36:AK36"/>
    <mergeCell ref="AL36:AN36"/>
    <mergeCell ref="AO36:AY36"/>
    <mergeCell ref="AJ34:AK34"/>
    <mergeCell ref="AL34:AN34"/>
    <mergeCell ref="AO34:AY34"/>
    <mergeCell ref="A35:B35"/>
    <mergeCell ref="T35:V35"/>
    <mergeCell ref="W35:X35"/>
    <mergeCell ref="Y35:Z35"/>
    <mergeCell ref="AA35:AB35"/>
    <mergeCell ref="AH35:AI35"/>
    <mergeCell ref="AJ35:AK35"/>
    <mergeCell ref="A34:B34"/>
    <mergeCell ref="T34:V34"/>
    <mergeCell ref="W34:X34"/>
    <mergeCell ref="Y34:Z34"/>
    <mergeCell ref="AA34:AB34"/>
    <mergeCell ref="AH34:AI34"/>
    <mergeCell ref="AL35:AN35"/>
    <mergeCell ref="AO35:AY35"/>
    <mergeCell ref="A33:B33"/>
    <mergeCell ref="T33:V33"/>
    <mergeCell ref="W33:X33"/>
    <mergeCell ref="Y33:Z33"/>
    <mergeCell ref="AA33:AB33"/>
    <mergeCell ref="AH33:AI33"/>
    <mergeCell ref="AJ33:AK33"/>
    <mergeCell ref="AL33:AN33"/>
    <mergeCell ref="AO33:AY33"/>
    <mergeCell ref="A32:B32"/>
    <mergeCell ref="T32:V32"/>
    <mergeCell ref="W32:X32"/>
    <mergeCell ref="Y32:Z32"/>
    <mergeCell ref="AA32:AB32"/>
    <mergeCell ref="AH32:AI32"/>
    <mergeCell ref="AJ32:AK32"/>
    <mergeCell ref="AL32:AN32"/>
    <mergeCell ref="AO32:AY32"/>
    <mergeCell ref="AJ30:AK30"/>
    <mergeCell ref="AL30:AN30"/>
    <mergeCell ref="AO30:AY30"/>
    <mergeCell ref="A31:B31"/>
    <mergeCell ref="T31:V31"/>
    <mergeCell ref="W31:X31"/>
    <mergeCell ref="Y31:Z31"/>
    <mergeCell ref="AA31:AB31"/>
    <mergeCell ref="AH31:AI31"/>
    <mergeCell ref="AJ31:AK31"/>
    <mergeCell ref="A30:B30"/>
    <mergeCell ref="T30:V30"/>
    <mergeCell ref="W30:X30"/>
    <mergeCell ref="Y30:Z30"/>
    <mergeCell ref="AA30:AB30"/>
    <mergeCell ref="AH30:AI30"/>
    <mergeCell ref="AL31:AN31"/>
    <mergeCell ref="AO31:AY31"/>
    <mergeCell ref="AJ27:AK27"/>
    <mergeCell ref="AL27:AN27"/>
    <mergeCell ref="AO27:AY27"/>
    <mergeCell ref="A29:B29"/>
    <mergeCell ref="T29:V29"/>
    <mergeCell ref="W29:X29"/>
    <mergeCell ref="Y29:Z29"/>
    <mergeCell ref="AA29:AB29"/>
    <mergeCell ref="AH29:AI29"/>
    <mergeCell ref="AJ29:AK29"/>
    <mergeCell ref="AL29:AN29"/>
    <mergeCell ref="AO29:AY29"/>
    <mergeCell ref="AJ26:AK26"/>
    <mergeCell ref="AL26:AN26"/>
    <mergeCell ref="AO26:AY26"/>
    <mergeCell ref="A28:B28"/>
    <mergeCell ref="T28:V28"/>
    <mergeCell ref="W28:X28"/>
    <mergeCell ref="Y28:Z28"/>
    <mergeCell ref="AA28:AB28"/>
    <mergeCell ref="AH28:AI28"/>
    <mergeCell ref="AJ28:AK28"/>
    <mergeCell ref="A26:B26"/>
    <mergeCell ref="T26:V26"/>
    <mergeCell ref="W26:X26"/>
    <mergeCell ref="Y26:Z26"/>
    <mergeCell ref="AA26:AB26"/>
    <mergeCell ref="AH26:AI26"/>
    <mergeCell ref="AL28:AN28"/>
    <mergeCell ref="AO28:AY28"/>
    <mergeCell ref="A27:B27"/>
    <mergeCell ref="T27:V27"/>
    <mergeCell ref="W27:X27"/>
    <mergeCell ref="Y27:Z27"/>
    <mergeCell ref="AA27:AB27"/>
    <mergeCell ref="AH27:AI27"/>
    <mergeCell ref="A25:B25"/>
    <mergeCell ref="T25:V25"/>
    <mergeCell ref="W25:X25"/>
    <mergeCell ref="Y25:Z25"/>
    <mergeCell ref="AA25:AB25"/>
    <mergeCell ref="AH25:AI25"/>
    <mergeCell ref="AJ25:AK25"/>
    <mergeCell ref="AL25:AN25"/>
    <mergeCell ref="AO25:AY25"/>
    <mergeCell ref="A24:B24"/>
    <mergeCell ref="T24:V24"/>
    <mergeCell ref="W24:X24"/>
    <mergeCell ref="Y24:Z24"/>
    <mergeCell ref="AA24:AB24"/>
    <mergeCell ref="AH24:AI24"/>
    <mergeCell ref="AJ24:AK24"/>
    <mergeCell ref="AL24:AN24"/>
    <mergeCell ref="AO24:AY24"/>
    <mergeCell ref="AJ22:AK22"/>
    <mergeCell ref="AL22:AN22"/>
    <mergeCell ref="AO22:AY22"/>
    <mergeCell ref="A23:B23"/>
    <mergeCell ref="T23:V23"/>
    <mergeCell ref="W23:X23"/>
    <mergeCell ref="Y23:Z23"/>
    <mergeCell ref="AA23:AB23"/>
    <mergeCell ref="AH23:AI23"/>
    <mergeCell ref="AJ23:AK23"/>
    <mergeCell ref="A22:B22"/>
    <mergeCell ref="T22:V22"/>
    <mergeCell ref="W22:X22"/>
    <mergeCell ref="Y22:Z22"/>
    <mergeCell ref="AA22:AB22"/>
    <mergeCell ref="AH22:AI22"/>
    <mergeCell ref="AL23:AN23"/>
    <mergeCell ref="AO23:AY23"/>
    <mergeCell ref="AA21:AB21"/>
    <mergeCell ref="AH21:AI21"/>
    <mergeCell ref="AJ21:AK21"/>
    <mergeCell ref="AL21:AN21"/>
    <mergeCell ref="AO21:AY21"/>
    <mergeCell ref="AA20:AB20"/>
    <mergeCell ref="AH20:AI20"/>
    <mergeCell ref="AJ20:AK20"/>
    <mergeCell ref="AL20:AN20"/>
    <mergeCell ref="AO20:AY20"/>
    <mergeCell ref="A21:B21"/>
    <mergeCell ref="L21:S21"/>
    <mergeCell ref="T21:V21"/>
    <mergeCell ref="W21:X21"/>
    <mergeCell ref="A20:B20"/>
    <mergeCell ref="L20:S20"/>
    <mergeCell ref="T20:V20"/>
    <mergeCell ref="W20:X20"/>
    <mergeCell ref="Y19:Z19"/>
    <mergeCell ref="Y21:Z21"/>
    <mergeCell ref="Y20:Z20"/>
    <mergeCell ref="AA19:AB19"/>
    <mergeCell ref="AH19:AI19"/>
    <mergeCell ref="AJ19:AK19"/>
    <mergeCell ref="AL19:AN19"/>
    <mergeCell ref="AO19:AY19"/>
    <mergeCell ref="AA18:AB18"/>
    <mergeCell ref="AH18:AI18"/>
    <mergeCell ref="AJ18:AK18"/>
    <mergeCell ref="AL18:AN18"/>
    <mergeCell ref="AO18:AY18"/>
    <mergeCell ref="Y18:Z18"/>
    <mergeCell ref="A19:B19"/>
    <mergeCell ref="L19:S19"/>
    <mergeCell ref="T19:V19"/>
    <mergeCell ref="W19:X19"/>
    <mergeCell ref="A18:B18"/>
    <mergeCell ref="L18:S18"/>
    <mergeCell ref="T18:V18"/>
    <mergeCell ref="W18:X18"/>
    <mergeCell ref="AA17:AB17"/>
    <mergeCell ref="AH17:AI17"/>
    <mergeCell ref="AJ17:AK17"/>
    <mergeCell ref="AL17:AN17"/>
    <mergeCell ref="AO17:AY17"/>
    <mergeCell ref="AA16:AB16"/>
    <mergeCell ref="AH16:AI16"/>
    <mergeCell ref="AJ16:AK16"/>
    <mergeCell ref="AL16:AN16"/>
    <mergeCell ref="AO16:AY16"/>
    <mergeCell ref="A17:B17"/>
    <mergeCell ref="L17:S17"/>
    <mergeCell ref="T17:V17"/>
    <mergeCell ref="W17:X17"/>
    <mergeCell ref="A16:B16"/>
    <mergeCell ref="L16:S16"/>
    <mergeCell ref="T16:V16"/>
    <mergeCell ref="W16:X16"/>
    <mergeCell ref="Y15:Z15"/>
    <mergeCell ref="Y17:Z17"/>
    <mergeCell ref="Y16:Z16"/>
    <mergeCell ref="AA15:AB15"/>
    <mergeCell ref="AH15:AI15"/>
    <mergeCell ref="AJ15:AK15"/>
    <mergeCell ref="AL15:AN15"/>
    <mergeCell ref="AO15:AY15"/>
    <mergeCell ref="AA14:AB14"/>
    <mergeCell ref="AH14:AI14"/>
    <mergeCell ref="AJ14:AK14"/>
    <mergeCell ref="AL14:AN14"/>
    <mergeCell ref="AO14:AY14"/>
    <mergeCell ref="Y14:Z14"/>
    <mergeCell ref="A15:B15"/>
    <mergeCell ref="L15:S15"/>
    <mergeCell ref="T15:V15"/>
    <mergeCell ref="W15:X15"/>
    <mergeCell ref="A14:B14"/>
    <mergeCell ref="L14:S14"/>
    <mergeCell ref="T14:V14"/>
    <mergeCell ref="W14:X14"/>
    <mergeCell ref="AH13:AI13"/>
    <mergeCell ref="AJ13:AK13"/>
    <mergeCell ref="AL13:AN13"/>
    <mergeCell ref="AO13:AY13"/>
    <mergeCell ref="AA12:AB12"/>
    <mergeCell ref="AH12:AI12"/>
    <mergeCell ref="AJ12:AK12"/>
    <mergeCell ref="AL12:AN12"/>
    <mergeCell ref="AO12:AY12"/>
    <mergeCell ref="A13:B13"/>
    <mergeCell ref="L13:S13"/>
    <mergeCell ref="T13:V13"/>
    <mergeCell ref="W13:X13"/>
    <mergeCell ref="A12:B12"/>
    <mergeCell ref="L12:S12"/>
    <mergeCell ref="T12:V12"/>
    <mergeCell ref="W12:X12"/>
    <mergeCell ref="AA10:AB10"/>
    <mergeCell ref="Y13:Z13"/>
    <mergeCell ref="AA13:AB13"/>
    <mergeCell ref="Y12:Z12"/>
    <mergeCell ref="AC10:AG10"/>
    <mergeCell ref="AH10:AI10"/>
    <mergeCell ref="AJ10:AK11"/>
    <mergeCell ref="AL10:AN11"/>
    <mergeCell ref="AO10:AY11"/>
    <mergeCell ref="AA11:AB11"/>
    <mergeCell ref="AH11:AI11"/>
    <mergeCell ref="A10:B11"/>
    <mergeCell ref="C10:K11"/>
    <mergeCell ref="L10:S11"/>
    <mergeCell ref="T10:V11"/>
    <mergeCell ref="W10:X11"/>
    <mergeCell ref="Y10:Z11"/>
    <mergeCell ref="A6:F8"/>
    <mergeCell ref="G6:K6"/>
    <mergeCell ref="L6:AB6"/>
    <mergeCell ref="AC6:AG6"/>
    <mergeCell ref="AH6:AY6"/>
    <mergeCell ref="AX2:AY5"/>
    <mergeCell ref="G3:K3"/>
    <mergeCell ref="AI3:AK3"/>
    <mergeCell ref="AL3:AN3"/>
    <mergeCell ref="AO3:AS3"/>
    <mergeCell ref="AT3:AW3"/>
    <mergeCell ref="G4:K4"/>
    <mergeCell ref="AI4:AK5"/>
    <mergeCell ref="AL4:AN4"/>
    <mergeCell ref="AO4:AS4"/>
    <mergeCell ref="A1:F5"/>
    <mergeCell ref="G7:K7"/>
    <mergeCell ref="L7:AB7"/>
    <mergeCell ref="AC7:AG7"/>
    <mergeCell ref="AH7:AY7"/>
    <mergeCell ref="G8:K8"/>
    <mergeCell ref="L8:AB8"/>
    <mergeCell ref="AC8:AG8"/>
    <mergeCell ref="AH8:AY8"/>
    <mergeCell ref="AO1:AS1"/>
    <mergeCell ref="AT1:AW1"/>
    <mergeCell ref="AX1:AY1"/>
    <mergeCell ref="G2:K2"/>
    <mergeCell ref="AC2:AE5"/>
    <mergeCell ref="AF2:AH5"/>
    <mergeCell ref="AI2:AK2"/>
    <mergeCell ref="AL2:AN2"/>
    <mergeCell ref="AO2:AS2"/>
    <mergeCell ref="AT2:AW2"/>
    <mergeCell ref="G1:K1"/>
    <mergeCell ref="AC1:AE1"/>
    <mergeCell ref="AF1:AH1"/>
    <mergeCell ref="AI1:AK1"/>
    <mergeCell ref="AL1:AN1"/>
    <mergeCell ref="AT4:AW4"/>
    <mergeCell ref="G5:K5"/>
    <mergeCell ref="AL5:AN5"/>
    <mergeCell ref="AO5:AS5"/>
    <mergeCell ref="AT5:AW5"/>
  </mergeCells>
  <phoneticPr fontId="23"/>
  <dataValidations disablePrompts="1" count="1">
    <dataValidation type="list" allowBlank="1" showInputMessage="1" showErrorMessage="1" sqref="T54:V54 T50:T53 T12:V49" xr:uid="{024EE4C0-6181-46E2-8E19-ADB5990CBB1E}">
      <formula1>型候補</formula1>
    </dataValidation>
  </dataValidations>
  <hyperlinks>
    <hyperlink ref="A1:F5" location="テーブル一覧!A1" display="テーブル一覧!A1" xr:uid="{4A4E73A5-8994-4C69-9CC8-FB0143AB8E20}"/>
  </hyperlinks>
  <pageMargins left="0.70866141732283472" right="0.70866141732283472" top="0.74803149606299213" bottom="0.74803149606299213" header="0.31496062992125984" footer="0.31496062992125984"/>
  <pageSetup paperSize="9" scale="83" fitToHeight="0" orientation="landscape" horizontalDpi="4294967294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6FC70C-C556-4402-B44A-936959EEF8C9}">
  <sheetPr codeName="Sheet38">
    <pageSetUpPr fitToPage="1"/>
  </sheetPr>
  <dimension ref="A1:AY54"/>
  <sheetViews>
    <sheetView view="pageBreakPreview" zoomScaleNormal="100" zoomScaleSheetLayoutView="100" workbookViewId="0">
      <selection sqref="A1:F5"/>
    </sheetView>
  </sheetViews>
  <sheetFormatPr defaultColWidth="3.83203125" defaultRowHeight="12"/>
  <cols>
    <col min="1" max="1" width="3.83203125" style="7" customWidth="1"/>
    <col min="2" max="3" width="3.83203125" style="8"/>
    <col min="4" max="49" width="3.83203125" style="7"/>
    <col min="50" max="50" width="4" style="7" customWidth="1"/>
    <col min="51" max="16384" width="3.83203125" style="7"/>
  </cols>
  <sheetData>
    <row r="1" spans="1:51" s="2" customFormat="1">
      <c r="A1" s="162" t="str">
        <f>L5</f>
        <v>テーブル定義書</v>
      </c>
      <c r="B1" s="163"/>
      <c r="C1" s="163"/>
      <c r="D1" s="163"/>
      <c r="E1" s="163"/>
      <c r="F1" s="164"/>
      <c r="G1" s="123" t="s">
        <v>59</v>
      </c>
      <c r="H1" s="113"/>
      <c r="I1" s="113"/>
      <c r="J1" s="113"/>
      <c r="K1" s="113"/>
      <c r="L1" s="1">
        <f>表紙!B8</f>
        <v>0</v>
      </c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24"/>
      <c r="AD1" s="124"/>
      <c r="AE1" s="124"/>
      <c r="AF1" s="124"/>
      <c r="AG1" s="124"/>
      <c r="AH1" s="124"/>
      <c r="AI1" s="113" t="s">
        <v>60</v>
      </c>
      <c r="AJ1" s="113"/>
      <c r="AK1" s="113"/>
      <c r="AL1" s="113" t="s">
        <v>61</v>
      </c>
      <c r="AM1" s="113"/>
      <c r="AN1" s="113"/>
      <c r="AO1" s="113" t="s">
        <v>62</v>
      </c>
      <c r="AP1" s="113"/>
      <c r="AQ1" s="113"/>
      <c r="AR1" s="113"/>
      <c r="AS1" s="113"/>
      <c r="AT1" s="113" t="s">
        <v>55</v>
      </c>
      <c r="AU1" s="113"/>
      <c r="AV1" s="113"/>
      <c r="AW1" s="113"/>
      <c r="AX1" s="113" t="s">
        <v>63</v>
      </c>
      <c r="AY1" s="114"/>
    </row>
    <row r="2" spans="1:51" s="2" customFormat="1">
      <c r="A2" s="165"/>
      <c r="B2" s="166"/>
      <c r="C2" s="166"/>
      <c r="D2" s="166"/>
      <c r="E2" s="166"/>
      <c r="F2" s="167"/>
      <c r="G2" s="115" t="s">
        <v>64</v>
      </c>
      <c r="H2" s="116"/>
      <c r="I2" s="116"/>
      <c r="J2" s="116"/>
      <c r="K2" s="116"/>
      <c r="L2" s="3">
        <f>表紙!M8</f>
        <v>0</v>
      </c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117"/>
      <c r="AD2" s="117"/>
      <c r="AE2" s="117"/>
      <c r="AF2" s="117"/>
      <c r="AG2" s="117"/>
      <c r="AH2" s="117"/>
      <c r="AI2" s="119" t="s">
        <v>65</v>
      </c>
      <c r="AJ2" s="119"/>
      <c r="AK2" s="119"/>
      <c r="AL2" s="120" t="s">
        <v>73</v>
      </c>
      <c r="AM2" s="120"/>
      <c r="AN2" s="120"/>
      <c r="AO2" s="121"/>
      <c r="AP2" s="121"/>
      <c r="AQ2" s="122"/>
      <c r="AR2" s="122"/>
      <c r="AS2" s="122"/>
      <c r="AT2" s="122"/>
      <c r="AU2" s="122"/>
      <c r="AV2" s="122"/>
      <c r="AW2" s="122"/>
      <c r="AX2" s="150" t="s">
        <v>74</v>
      </c>
      <c r="AY2" s="151"/>
    </row>
    <row r="3" spans="1:51" s="2" customFormat="1">
      <c r="A3" s="165"/>
      <c r="B3" s="166"/>
      <c r="C3" s="166"/>
      <c r="D3" s="166"/>
      <c r="E3" s="166"/>
      <c r="F3" s="167"/>
      <c r="G3" s="154" t="s">
        <v>66</v>
      </c>
      <c r="H3" s="119"/>
      <c r="I3" s="119"/>
      <c r="J3" s="119"/>
      <c r="K3" s="119"/>
      <c r="L3" s="4" t="s">
        <v>76</v>
      </c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117"/>
      <c r="AD3" s="117"/>
      <c r="AE3" s="117"/>
      <c r="AF3" s="117"/>
      <c r="AG3" s="117"/>
      <c r="AH3" s="117"/>
      <c r="AI3" s="155" t="s">
        <v>67</v>
      </c>
      <c r="AJ3" s="155"/>
      <c r="AK3" s="155"/>
      <c r="AL3" s="156"/>
      <c r="AM3" s="156"/>
      <c r="AN3" s="156"/>
      <c r="AO3" s="157" t="str">
        <f>IF( $AL3 &lt;&gt; "", VLOOKUP( $AL3, 表紙!$B$15:$AE$47, 5, FALSE ), "" )</f>
        <v/>
      </c>
      <c r="AP3" s="157"/>
      <c r="AQ3" s="158"/>
      <c r="AR3" s="158"/>
      <c r="AS3" s="158"/>
      <c r="AT3" s="158" t="str">
        <f>IF( $AL3 &lt;&gt; "", VLOOKUP( $AL3, 表紙!$B$15:$AE$47, 28, FALSE ), "" )</f>
        <v/>
      </c>
      <c r="AU3" s="158"/>
      <c r="AV3" s="158"/>
      <c r="AW3" s="158"/>
      <c r="AX3" s="150"/>
      <c r="AY3" s="151"/>
    </row>
    <row r="4" spans="1:51" s="2" customFormat="1">
      <c r="A4" s="165"/>
      <c r="B4" s="166"/>
      <c r="C4" s="166"/>
      <c r="D4" s="166"/>
      <c r="E4" s="166"/>
      <c r="F4" s="167"/>
      <c r="G4" s="159" t="s">
        <v>75</v>
      </c>
      <c r="H4" s="155"/>
      <c r="I4" s="155"/>
      <c r="J4" s="155"/>
      <c r="K4" s="15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117"/>
      <c r="AD4" s="117"/>
      <c r="AE4" s="117"/>
      <c r="AF4" s="117"/>
      <c r="AG4" s="117"/>
      <c r="AH4" s="117"/>
      <c r="AI4" s="155" t="s">
        <v>68</v>
      </c>
      <c r="AJ4" s="155"/>
      <c r="AK4" s="155"/>
      <c r="AL4" s="156"/>
      <c r="AM4" s="156"/>
      <c r="AN4" s="156"/>
      <c r="AO4" s="160"/>
      <c r="AP4" s="160"/>
      <c r="AQ4" s="161"/>
      <c r="AR4" s="161"/>
      <c r="AS4" s="161"/>
      <c r="AT4" s="125"/>
      <c r="AU4" s="125"/>
      <c r="AV4" s="125"/>
      <c r="AW4" s="125"/>
      <c r="AX4" s="150"/>
      <c r="AY4" s="151"/>
    </row>
    <row r="5" spans="1:51" s="2" customFormat="1" ht="12.75" thickBot="1">
      <c r="A5" s="168"/>
      <c r="B5" s="169"/>
      <c r="C5" s="169"/>
      <c r="D5" s="169"/>
      <c r="E5" s="169"/>
      <c r="F5" s="170"/>
      <c r="G5" s="126" t="s">
        <v>0</v>
      </c>
      <c r="H5" s="127"/>
      <c r="I5" s="127"/>
      <c r="J5" s="127"/>
      <c r="K5" s="127"/>
      <c r="L5" s="6" t="s">
        <v>87</v>
      </c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118"/>
      <c r="AD5" s="118"/>
      <c r="AE5" s="118"/>
      <c r="AF5" s="118"/>
      <c r="AG5" s="118"/>
      <c r="AH5" s="118"/>
      <c r="AI5" s="127"/>
      <c r="AJ5" s="127"/>
      <c r="AK5" s="127"/>
      <c r="AL5" s="128"/>
      <c r="AM5" s="128"/>
      <c r="AN5" s="128"/>
      <c r="AO5" s="129"/>
      <c r="AP5" s="129"/>
      <c r="AQ5" s="130"/>
      <c r="AR5" s="130"/>
      <c r="AS5" s="130"/>
      <c r="AT5" s="131"/>
      <c r="AU5" s="131"/>
      <c r="AV5" s="131"/>
      <c r="AW5" s="131"/>
      <c r="AX5" s="152"/>
      <c r="AY5" s="153"/>
    </row>
    <row r="6" spans="1:51" s="2" customFormat="1">
      <c r="A6" s="132" t="s">
        <v>1</v>
      </c>
      <c r="B6" s="133"/>
      <c r="C6" s="133"/>
      <c r="D6" s="133"/>
      <c r="E6" s="133"/>
      <c r="F6" s="134"/>
      <c r="G6" s="141" t="s">
        <v>10</v>
      </c>
      <c r="H6" s="142"/>
      <c r="I6" s="142"/>
      <c r="J6" s="142"/>
      <c r="K6" s="142"/>
      <c r="L6" s="143"/>
      <c r="M6" s="144"/>
      <c r="N6" s="144"/>
      <c r="O6" s="144"/>
      <c r="P6" s="144"/>
      <c r="Q6" s="144"/>
      <c r="R6" s="144"/>
      <c r="S6" s="144"/>
      <c r="T6" s="144"/>
      <c r="U6" s="144"/>
      <c r="V6" s="144"/>
      <c r="W6" s="144"/>
      <c r="X6" s="144"/>
      <c r="Y6" s="144"/>
      <c r="Z6" s="144"/>
      <c r="AA6" s="144"/>
      <c r="AB6" s="145"/>
      <c r="AC6" s="146" t="s">
        <v>14</v>
      </c>
      <c r="AD6" s="142"/>
      <c r="AE6" s="142"/>
      <c r="AF6" s="142"/>
      <c r="AG6" s="142"/>
      <c r="AH6" s="147" t="s">
        <v>79</v>
      </c>
      <c r="AI6" s="148"/>
      <c r="AJ6" s="148"/>
      <c r="AK6" s="148"/>
      <c r="AL6" s="148"/>
      <c r="AM6" s="148"/>
      <c r="AN6" s="148"/>
      <c r="AO6" s="148"/>
      <c r="AP6" s="148"/>
      <c r="AQ6" s="148"/>
      <c r="AR6" s="148"/>
      <c r="AS6" s="148"/>
      <c r="AT6" s="148"/>
      <c r="AU6" s="148"/>
      <c r="AV6" s="148"/>
      <c r="AW6" s="148"/>
      <c r="AX6" s="148"/>
      <c r="AY6" s="149"/>
    </row>
    <row r="7" spans="1:51" s="2" customFormat="1">
      <c r="A7" s="135"/>
      <c r="B7" s="136"/>
      <c r="C7" s="136"/>
      <c r="D7" s="136"/>
      <c r="E7" s="136"/>
      <c r="F7" s="137"/>
      <c r="G7" s="171" t="s">
        <v>11</v>
      </c>
      <c r="H7" s="155"/>
      <c r="I7" s="155"/>
      <c r="J7" s="155"/>
      <c r="K7" s="155"/>
      <c r="L7" s="172" t="s">
        <v>143</v>
      </c>
      <c r="M7" s="173"/>
      <c r="N7" s="173"/>
      <c r="O7" s="173"/>
      <c r="P7" s="173"/>
      <c r="Q7" s="173"/>
      <c r="R7" s="173"/>
      <c r="S7" s="173"/>
      <c r="T7" s="173"/>
      <c r="U7" s="173"/>
      <c r="V7" s="173"/>
      <c r="W7" s="173"/>
      <c r="X7" s="173"/>
      <c r="Y7" s="173"/>
      <c r="Z7" s="173"/>
      <c r="AA7" s="173"/>
      <c r="AB7" s="174"/>
      <c r="AC7" s="159" t="s">
        <v>13</v>
      </c>
      <c r="AD7" s="155"/>
      <c r="AE7" s="155"/>
      <c r="AF7" s="155"/>
      <c r="AG7" s="155"/>
      <c r="AH7" s="172" t="s">
        <v>143</v>
      </c>
      <c r="AI7" s="173"/>
      <c r="AJ7" s="173"/>
      <c r="AK7" s="173"/>
      <c r="AL7" s="173"/>
      <c r="AM7" s="173"/>
      <c r="AN7" s="173"/>
      <c r="AO7" s="173"/>
      <c r="AP7" s="173"/>
      <c r="AQ7" s="173"/>
      <c r="AR7" s="173"/>
      <c r="AS7" s="173"/>
      <c r="AT7" s="173"/>
      <c r="AU7" s="173"/>
      <c r="AV7" s="173"/>
      <c r="AW7" s="173"/>
      <c r="AX7" s="173"/>
      <c r="AY7" s="174"/>
    </row>
    <row r="8" spans="1:51" s="2" customFormat="1" ht="12.75" thickBot="1">
      <c r="A8" s="138"/>
      <c r="B8" s="139"/>
      <c r="C8" s="139"/>
      <c r="D8" s="139"/>
      <c r="E8" s="139"/>
      <c r="F8" s="140"/>
      <c r="G8" s="175" t="s">
        <v>12</v>
      </c>
      <c r="H8" s="176"/>
      <c r="I8" s="176"/>
      <c r="J8" s="176"/>
      <c r="K8" s="176"/>
      <c r="L8" s="177" t="s">
        <v>163</v>
      </c>
      <c r="M8" s="178"/>
      <c r="N8" s="178"/>
      <c r="O8" s="178"/>
      <c r="P8" s="178"/>
      <c r="Q8" s="178"/>
      <c r="R8" s="178"/>
      <c r="S8" s="178"/>
      <c r="T8" s="178"/>
      <c r="U8" s="178"/>
      <c r="V8" s="178"/>
      <c r="W8" s="178"/>
      <c r="X8" s="178"/>
      <c r="Y8" s="178"/>
      <c r="Z8" s="178"/>
      <c r="AA8" s="178"/>
      <c r="AB8" s="179"/>
      <c r="AC8" s="180" t="s">
        <v>33</v>
      </c>
      <c r="AD8" s="176"/>
      <c r="AE8" s="176"/>
      <c r="AF8" s="176"/>
      <c r="AG8" s="176"/>
      <c r="AH8" s="177" t="str">
        <f ca="1">RIGHT(CELL("filename",A1),LEN(CELL("filename",A1))-FIND("]",CELL("filename",A1)))</f>
        <v>m_所属部署</v>
      </c>
      <c r="AI8" s="178"/>
      <c r="AJ8" s="178"/>
      <c r="AK8" s="178"/>
      <c r="AL8" s="178"/>
      <c r="AM8" s="178"/>
      <c r="AN8" s="178"/>
      <c r="AO8" s="178"/>
      <c r="AP8" s="178"/>
      <c r="AQ8" s="178"/>
      <c r="AR8" s="178"/>
      <c r="AS8" s="178"/>
      <c r="AT8" s="178"/>
      <c r="AU8" s="178"/>
      <c r="AV8" s="178"/>
      <c r="AW8" s="178"/>
      <c r="AX8" s="178"/>
      <c r="AY8" s="179"/>
    </row>
    <row r="10" spans="1:51">
      <c r="A10" s="181" t="s">
        <v>15</v>
      </c>
      <c r="B10" s="181"/>
      <c r="C10" s="181" t="s">
        <v>17</v>
      </c>
      <c r="D10" s="181"/>
      <c r="E10" s="181"/>
      <c r="F10" s="181"/>
      <c r="G10" s="181"/>
      <c r="H10" s="181"/>
      <c r="I10" s="181"/>
      <c r="J10" s="181"/>
      <c r="K10" s="181"/>
      <c r="L10" s="183" t="s">
        <v>18</v>
      </c>
      <c r="M10" s="184"/>
      <c r="N10" s="184"/>
      <c r="O10" s="184"/>
      <c r="P10" s="184"/>
      <c r="Q10" s="184"/>
      <c r="R10" s="184"/>
      <c r="S10" s="185"/>
      <c r="T10" s="184" t="s">
        <v>16</v>
      </c>
      <c r="U10" s="184"/>
      <c r="V10" s="185"/>
      <c r="W10" s="181" t="s">
        <v>28</v>
      </c>
      <c r="X10" s="181"/>
      <c r="Y10" s="181" t="s">
        <v>29</v>
      </c>
      <c r="Z10" s="181"/>
      <c r="AA10" s="181" t="s">
        <v>25</v>
      </c>
      <c r="AB10" s="181"/>
      <c r="AC10" s="181" t="s">
        <v>26</v>
      </c>
      <c r="AD10" s="181"/>
      <c r="AE10" s="181"/>
      <c r="AF10" s="181"/>
      <c r="AG10" s="181"/>
      <c r="AH10" s="181" t="s">
        <v>27</v>
      </c>
      <c r="AI10" s="181"/>
      <c r="AJ10" s="182" t="s">
        <v>30</v>
      </c>
      <c r="AK10" s="181"/>
      <c r="AL10" s="181" t="s">
        <v>31</v>
      </c>
      <c r="AM10" s="181"/>
      <c r="AN10" s="181"/>
      <c r="AO10" s="181" t="s">
        <v>32</v>
      </c>
      <c r="AP10" s="181"/>
      <c r="AQ10" s="181"/>
      <c r="AR10" s="181"/>
      <c r="AS10" s="181"/>
      <c r="AT10" s="181"/>
      <c r="AU10" s="181"/>
      <c r="AV10" s="181"/>
      <c r="AW10" s="181"/>
      <c r="AX10" s="181"/>
      <c r="AY10" s="181"/>
    </row>
    <row r="11" spans="1:51">
      <c r="A11" s="181"/>
      <c r="B11" s="181"/>
      <c r="C11" s="181"/>
      <c r="D11" s="181"/>
      <c r="E11" s="181"/>
      <c r="F11" s="181"/>
      <c r="G11" s="181"/>
      <c r="H11" s="181"/>
      <c r="I11" s="181"/>
      <c r="J11" s="181"/>
      <c r="K11" s="181"/>
      <c r="L11" s="186"/>
      <c r="M11" s="187"/>
      <c r="N11" s="187"/>
      <c r="O11" s="187"/>
      <c r="P11" s="187"/>
      <c r="Q11" s="187"/>
      <c r="R11" s="187"/>
      <c r="S11" s="188"/>
      <c r="T11" s="187"/>
      <c r="U11" s="187"/>
      <c r="V11" s="188"/>
      <c r="W11" s="181"/>
      <c r="X11" s="181"/>
      <c r="Y11" s="181"/>
      <c r="Z11" s="181"/>
      <c r="AA11" s="181" t="s">
        <v>24</v>
      </c>
      <c r="AB11" s="181"/>
      <c r="AC11" s="9" t="s">
        <v>19</v>
      </c>
      <c r="AD11" s="9" t="s">
        <v>20</v>
      </c>
      <c r="AE11" s="9" t="s">
        <v>21</v>
      </c>
      <c r="AF11" s="9" t="s">
        <v>22</v>
      </c>
      <c r="AG11" s="9" t="s">
        <v>23</v>
      </c>
      <c r="AH11" s="181" t="s">
        <v>24</v>
      </c>
      <c r="AI11" s="181"/>
      <c r="AJ11" s="181"/>
      <c r="AK11" s="181"/>
      <c r="AL11" s="181"/>
      <c r="AM11" s="181"/>
      <c r="AN11" s="181"/>
      <c r="AO11" s="181"/>
      <c r="AP11" s="181"/>
      <c r="AQ11" s="181"/>
      <c r="AR11" s="181"/>
      <c r="AS11" s="181"/>
      <c r="AT11" s="181"/>
      <c r="AU11" s="181"/>
      <c r="AV11" s="181"/>
      <c r="AW11" s="181"/>
      <c r="AX11" s="181"/>
      <c r="AY11" s="181"/>
    </row>
    <row r="12" spans="1:51">
      <c r="A12" s="189">
        <f t="shared" ref="A12:A54" si="0">ROW()-11</f>
        <v>1</v>
      </c>
      <c r="B12" s="190"/>
      <c r="C12" s="61" t="s">
        <v>82</v>
      </c>
      <c r="D12" s="59"/>
      <c r="E12" s="59"/>
      <c r="F12" s="59"/>
      <c r="G12" s="59"/>
      <c r="H12" s="59"/>
      <c r="I12" s="59"/>
      <c r="J12" s="59"/>
      <c r="K12" s="60"/>
      <c r="L12" s="191" t="s">
        <v>93</v>
      </c>
      <c r="M12" s="192"/>
      <c r="N12" s="192"/>
      <c r="O12" s="192"/>
      <c r="P12" s="192"/>
      <c r="Q12" s="192"/>
      <c r="R12" s="192"/>
      <c r="S12" s="193"/>
      <c r="T12" s="194" t="s">
        <v>41</v>
      </c>
      <c r="U12" s="195"/>
      <c r="V12" s="196"/>
      <c r="W12" s="197" t="s">
        <v>43</v>
      </c>
      <c r="X12" s="198"/>
      <c r="Y12" s="197">
        <v>8</v>
      </c>
      <c r="Z12" s="198"/>
      <c r="AA12" s="197"/>
      <c r="AB12" s="198"/>
      <c r="AC12" s="47"/>
      <c r="AD12" s="22"/>
      <c r="AE12" s="22"/>
      <c r="AF12" s="22"/>
      <c r="AG12" s="49"/>
      <c r="AH12" s="197"/>
      <c r="AI12" s="198"/>
      <c r="AJ12" s="199"/>
      <c r="AK12" s="200"/>
      <c r="AL12" s="197"/>
      <c r="AM12" s="201"/>
      <c r="AN12" s="198"/>
      <c r="AO12" s="192"/>
      <c r="AP12" s="192"/>
      <c r="AQ12" s="192"/>
      <c r="AR12" s="192"/>
      <c r="AS12" s="192"/>
      <c r="AT12" s="192"/>
      <c r="AU12" s="192"/>
      <c r="AV12" s="192"/>
      <c r="AW12" s="192"/>
      <c r="AX12" s="192"/>
      <c r="AY12" s="193"/>
    </row>
    <row r="13" spans="1:51">
      <c r="A13" s="189">
        <f t="shared" si="0"/>
        <v>2</v>
      </c>
      <c r="B13" s="190"/>
      <c r="C13" s="61" t="s">
        <v>83</v>
      </c>
      <c r="D13" s="59"/>
      <c r="E13" s="59"/>
      <c r="F13" s="59"/>
      <c r="G13" s="59"/>
      <c r="H13" s="59"/>
      <c r="I13" s="59"/>
      <c r="J13" s="59"/>
      <c r="K13" s="60"/>
      <c r="L13" s="191" t="s">
        <v>94</v>
      </c>
      <c r="M13" s="192"/>
      <c r="N13" s="192"/>
      <c r="O13" s="192"/>
      <c r="P13" s="192"/>
      <c r="Q13" s="192"/>
      <c r="R13" s="192"/>
      <c r="S13" s="193"/>
      <c r="T13" s="194" t="s">
        <v>40</v>
      </c>
      <c r="U13" s="195"/>
      <c r="V13" s="196"/>
      <c r="W13" s="197">
        <v>60</v>
      </c>
      <c r="X13" s="198"/>
      <c r="Y13" s="197">
        <v>60</v>
      </c>
      <c r="Z13" s="198"/>
      <c r="AA13" s="197"/>
      <c r="AB13" s="198"/>
      <c r="AC13" s="47"/>
      <c r="AD13" s="22"/>
      <c r="AE13" s="22"/>
      <c r="AF13" s="22"/>
      <c r="AG13" s="49"/>
      <c r="AH13" s="197"/>
      <c r="AI13" s="198"/>
      <c r="AJ13" s="199"/>
      <c r="AK13" s="200"/>
      <c r="AL13" s="197"/>
      <c r="AM13" s="201"/>
      <c r="AN13" s="198"/>
      <c r="AO13" s="192"/>
      <c r="AP13" s="192"/>
      <c r="AQ13" s="192"/>
      <c r="AR13" s="192"/>
      <c r="AS13" s="192"/>
      <c r="AT13" s="192"/>
      <c r="AU13" s="192"/>
      <c r="AV13" s="192"/>
      <c r="AW13" s="192"/>
      <c r="AX13" s="192"/>
      <c r="AY13" s="193"/>
    </row>
    <row r="14" spans="1:51">
      <c r="A14" s="189">
        <f t="shared" si="0"/>
        <v>3</v>
      </c>
      <c r="B14" s="190"/>
      <c r="C14" s="61" t="s">
        <v>90</v>
      </c>
      <c r="D14" s="59"/>
      <c r="E14" s="59"/>
      <c r="F14" s="59"/>
      <c r="G14" s="59"/>
      <c r="H14" s="59"/>
      <c r="I14" s="59"/>
      <c r="J14" s="59"/>
      <c r="K14" s="60"/>
      <c r="L14" s="191" t="s">
        <v>95</v>
      </c>
      <c r="M14" s="192"/>
      <c r="N14" s="192"/>
      <c r="O14" s="192"/>
      <c r="P14" s="192"/>
      <c r="Q14" s="192"/>
      <c r="R14" s="192"/>
      <c r="S14" s="193"/>
      <c r="T14" s="194" t="s">
        <v>42</v>
      </c>
      <c r="U14" s="195"/>
      <c r="V14" s="196"/>
      <c r="W14" s="197" t="s">
        <v>91</v>
      </c>
      <c r="X14" s="198"/>
      <c r="Y14" s="197">
        <v>4</v>
      </c>
      <c r="Z14" s="198"/>
      <c r="AA14" s="197"/>
      <c r="AB14" s="198"/>
      <c r="AC14" s="47"/>
      <c r="AD14" s="22"/>
      <c r="AE14" s="22"/>
      <c r="AF14" s="22"/>
      <c r="AG14" s="49"/>
      <c r="AH14" s="197"/>
      <c r="AI14" s="198"/>
      <c r="AJ14" s="199"/>
      <c r="AK14" s="200"/>
      <c r="AL14" s="197"/>
      <c r="AM14" s="201"/>
      <c r="AN14" s="198"/>
      <c r="AO14" s="192"/>
      <c r="AP14" s="192"/>
      <c r="AQ14" s="192"/>
      <c r="AR14" s="192"/>
      <c r="AS14" s="192"/>
      <c r="AT14" s="192"/>
      <c r="AU14" s="192"/>
      <c r="AV14" s="192"/>
      <c r="AW14" s="192"/>
      <c r="AX14" s="192"/>
      <c r="AY14" s="193"/>
    </row>
    <row r="15" spans="1:51">
      <c r="A15" s="189">
        <f t="shared" si="0"/>
        <v>4</v>
      </c>
      <c r="B15" s="190"/>
      <c r="C15" s="61" t="s">
        <v>84</v>
      </c>
      <c r="D15" s="59"/>
      <c r="E15" s="59"/>
      <c r="F15" s="59"/>
      <c r="G15" s="59"/>
      <c r="H15" s="59"/>
      <c r="I15" s="59"/>
      <c r="J15" s="59"/>
      <c r="K15" s="60"/>
      <c r="L15" s="191" t="s">
        <v>96</v>
      </c>
      <c r="M15" s="192"/>
      <c r="N15" s="192"/>
      <c r="O15" s="192"/>
      <c r="P15" s="192"/>
      <c r="Q15" s="192"/>
      <c r="R15" s="192"/>
      <c r="S15" s="193"/>
      <c r="T15" s="194" t="s">
        <v>41</v>
      </c>
      <c r="U15" s="195"/>
      <c r="V15" s="196"/>
      <c r="W15" s="197" t="s">
        <v>43</v>
      </c>
      <c r="X15" s="198"/>
      <c r="Y15" s="197">
        <v>8</v>
      </c>
      <c r="Z15" s="198"/>
      <c r="AA15" s="197"/>
      <c r="AB15" s="198"/>
      <c r="AC15" s="47"/>
      <c r="AD15" s="22"/>
      <c r="AE15" s="22"/>
      <c r="AF15" s="22"/>
      <c r="AG15" s="49"/>
      <c r="AH15" s="197"/>
      <c r="AI15" s="198"/>
      <c r="AJ15" s="199"/>
      <c r="AK15" s="200"/>
      <c r="AL15" s="197"/>
      <c r="AM15" s="201"/>
      <c r="AN15" s="198"/>
      <c r="AO15" s="192"/>
      <c r="AP15" s="192"/>
      <c r="AQ15" s="192"/>
      <c r="AR15" s="192"/>
      <c r="AS15" s="192"/>
      <c r="AT15" s="192"/>
      <c r="AU15" s="192"/>
      <c r="AV15" s="192"/>
      <c r="AW15" s="192"/>
      <c r="AX15" s="192"/>
      <c r="AY15" s="193"/>
    </row>
    <row r="16" spans="1:51">
      <c r="A16" s="189">
        <f t="shared" si="0"/>
        <v>5</v>
      </c>
      <c r="B16" s="190"/>
      <c r="C16" s="61" t="s">
        <v>85</v>
      </c>
      <c r="D16" s="59"/>
      <c r="E16" s="59"/>
      <c r="F16" s="59"/>
      <c r="G16" s="59"/>
      <c r="H16" s="59"/>
      <c r="I16" s="59"/>
      <c r="J16" s="59"/>
      <c r="K16" s="60"/>
      <c r="L16" s="191" t="s">
        <v>97</v>
      </c>
      <c r="M16" s="192"/>
      <c r="N16" s="192"/>
      <c r="O16" s="192"/>
      <c r="P16" s="192"/>
      <c r="Q16" s="192"/>
      <c r="R16" s="192"/>
      <c r="S16" s="193"/>
      <c r="T16" s="194" t="s">
        <v>40</v>
      </c>
      <c r="U16" s="195"/>
      <c r="V16" s="196"/>
      <c r="W16" s="197">
        <v>60</v>
      </c>
      <c r="X16" s="198"/>
      <c r="Y16" s="197">
        <v>60</v>
      </c>
      <c r="Z16" s="198"/>
      <c r="AA16" s="197"/>
      <c r="AB16" s="198"/>
      <c r="AC16" s="47"/>
      <c r="AD16" s="22"/>
      <c r="AE16" s="22"/>
      <c r="AF16" s="22"/>
      <c r="AG16" s="49"/>
      <c r="AH16" s="197"/>
      <c r="AI16" s="198"/>
      <c r="AJ16" s="199"/>
      <c r="AK16" s="200"/>
      <c r="AL16" s="197"/>
      <c r="AM16" s="201"/>
      <c r="AN16" s="198"/>
      <c r="AO16" s="192"/>
      <c r="AP16" s="192"/>
      <c r="AQ16" s="192"/>
      <c r="AR16" s="192"/>
      <c r="AS16" s="192"/>
      <c r="AT16" s="192"/>
      <c r="AU16" s="192"/>
      <c r="AV16" s="192"/>
      <c r="AW16" s="192"/>
      <c r="AX16" s="192"/>
      <c r="AY16" s="193"/>
    </row>
    <row r="17" spans="1:51">
      <c r="A17" s="189">
        <f t="shared" si="0"/>
        <v>6</v>
      </c>
      <c r="B17" s="190"/>
      <c r="C17" s="61" t="s">
        <v>92</v>
      </c>
      <c r="D17" s="59"/>
      <c r="E17" s="59"/>
      <c r="F17" s="59"/>
      <c r="G17" s="59"/>
      <c r="H17" s="59"/>
      <c r="I17" s="59"/>
      <c r="J17" s="59"/>
      <c r="K17" s="60"/>
      <c r="L17" s="191" t="s">
        <v>98</v>
      </c>
      <c r="M17" s="192"/>
      <c r="N17" s="192"/>
      <c r="O17" s="192"/>
      <c r="P17" s="192"/>
      <c r="Q17" s="192"/>
      <c r="R17" s="192"/>
      <c r="S17" s="193"/>
      <c r="T17" s="194" t="s">
        <v>42</v>
      </c>
      <c r="U17" s="195"/>
      <c r="V17" s="196"/>
      <c r="W17" s="197" t="s">
        <v>91</v>
      </c>
      <c r="X17" s="198"/>
      <c r="Y17" s="197">
        <v>4</v>
      </c>
      <c r="Z17" s="198"/>
      <c r="AA17" s="197"/>
      <c r="AB17" s="198"/>
      <c r="AC17" s="47"/>
      <c r="AD17" s="22"/>
      <c r="AE17" s="22"/>
      <c r="AF17" s="22"/>
      <c r="AG17" s="49"/>
      <c r="AH17" s="197"/>
      <c r="AI17" s="198"/>
      <c r="AJ17" s="199"/>
      <c r="AK17" s="200"/>
      <c r="AL17" s="197"/>
      <c r="AM17" s="201"/>
      <c r="AN17" s="198"/>
      <c r="AO17" s="192"/>
      <c r="AP17" s="192"/>
      <c r="AQ17" s="192"/>
      <c r="AR17" s="192"/>
      <c r="AS17" s="192"/>
      <c r="AT17" s="192"/>
      <c r="AU17" s="192"/>
      <c r="AV17" s="192"/>
      <c r="AW17" s="192"/>
      <c r="AX17" s="192"/>
      <c r="AY17" s="193"/>
    </row>
    <row r="18" spans="1:51">
      <c r="A18" s="189">
        <f t="shared" si="0"/>
        <v>7</v>
      </c>
      <c r="B18" s="190"/>
      <c r="C18" s="61" t="s">
        <v>100</v>
      </c>
      <c r="D18" s="59"/>
      <c r="E18" s="59"/>
      <c r="F18" s="59"/>
      <c r="G18" s="59"/>
      <c r="H18" s="59"/>
      <c r="I18" s="59"/>
      <c r="J18" s="59"/>
      <c r="K18" s="60"/>
      <c r="L18" s="191" t="s">
        <v>103</v>
      </c>
      <c r="M18" s="192"/>
      <c r="N18" s="192"/>
      <c r="O18" s="192"/>
      <c r="P18" s="192"/>
      <c r="Q18" s="192"/>
      <c r="R18" s="192"/>
      <c r="S18" s="193"/>
      <c r="T18" s="194" t="s">
        <v>41</v>
      </c>
      <c r="U18" s="195"/>
      <c r="V18" s="196"/>
      <c r="W18" s="197" t="s">
        <v>43</v>
      </c>
      <c r="X18" s="198"/>
      <c r="Y18" s="197">
        <v>8</v>
      </c>
      <c r="Z18" s="198"/>
      <c r="AA18" s="197"/>
      <c r="AB18" s="198"/>
      <c r="AC18" s="47"/>
      <c r="AD18" s="22"/>
      <c r="AE18" s="22"/>
      <c r="AF18" s="22"/>
      <c r="AG18" s="49"/>
      <c r="AH18" s="197"/>
      <c r="AI18" s="198"/>
      <c r="AJ18" s="199"/>
      <c r="AK18" s="200"/>
      <c r="AL18" s="197"/>
      <c r="AM18" s="201"/>
      <c r="AN18" s="198"/>
      <c r="AO18" s="192"/>
      <c r="AP18" s="192"/>
      <c r="AQ18" s="192"/>
      <c r="AR18" s="192"/>
      <c r="AS18" s="192"/>
      <c r="AT18" s="192"/>
      <c r="AU18" s="192"/>
      <c r="AV18" s="192"/>
      <c r="AW18" s="192"/>
      <c r="AX18" s="192"/>
      <c r="AY18" s="193"/>
    </row>
    <row r="19" spans="1:51">
      <c r="A19" s="189">
        <f t="shared" si="0"/>
        <v>8</v>
      </c>
      <c r="B19" s="190"/>
      <c r="C19" s="61" t="s">
        <v>101</v>
      </c>
      <c r="D19" s="59"/>
      <c r="E19" s="59"/>
      <c r="F19" s="59"/>
      <c r="G19" s="59"/>
      <c r="H19" s="59"/>
      <c r="I19" s="59"/>
      <c r="J19" s="59"/>
      <c r="K19" s="60"/>
      <c r="L19" s="191" t="s">
        <v>104</v>
      </c>
      <c r="M19" s="192"/>
      <c r="N19" s="192"/>
      <c r="O19" s="192"/>
      <c r="P19" s="192"/>
      <c r="Q19" s="192"/>
      <c r="R19" s="192"/>
      <c r="S19" s="193"/>
      <c r="T19" s="194" t="s">
        <v>40</v>
      </c>
      <c r="U19" s="195"/>
      <c r="V19" s="196"/>
      <c r="W19" s="197">
        <v>60</v>
      </c>
      <c r="X19" s="198"/>
      <c r="Y19" s="197">
        <v>60</v>
      </c>
      <c r="Z19" s="198"/>
      <c r="AA19" s="197"/>
      <c r="AB19" s="198"/>
      <c r="AC19" s="47"/>
      <c r="AD19" s="22"/>
      <c r="AE19" s="22"/>
      <c r="AF19" s="22"/>
      <c r="AG19" s="49"/>
      <c r="AH19" s="197"/>
      <c r="AI19" s="198"/>
      <c r="AJ19" s="199"/>
      <c r="AK19" s="200"/>
      <c r="AL19" s="197"/>
      <c r="AM19" s="201"/>
      <c r="AN19" s="198"/>
      <c r="AO19" s="192"/>
      <c r="AP19" s="192"/>
      <c r="AQ19" s="192"/>
      <c r="AR19" s="192"/>
      <c r="AS19" s="192"/>
      <c r="AT19" s="192"/>
      <c r="AU19" s="192"/>
      <c r="AV19" s="192"/>
      <c r="AW19" s="192"/>
      <c r="AX19" s="192"/>
      <c r="AY19" s="193"/>
    </row>
    <row r="20" spans="1:51">
      <c r="A20" s="189">
        <f t="shared" si="0"/>
        <v>9</v>
      </c>
      <c r="B20" s="190"/>
      <c r="C20" s="61" t="s">
        <v>102</v>
      </c>
      <c r="D20" s="59"/>
      <c r="E20" s="59"/>
      <c r="F20" s="59"/>
      <c r="G20" s="59"/>
      <c r="H20" s="59"/>
      <c r="I20" s="59"/>
      <c r="J20" s="59"/>
      <c r="K20" s="60"/>
      <c r="L20" s="191" t="s">
        <v>105</v>
      </c>
      <c r="M20" s="192"/>
      <c r="N20" s="192"/>
      <c r="O20" s="192"/>
      <c r="P20" s="192"/>
      <c r="Q20" s="192"/>
      <c r="R20" s="192"/>
      <c r="S20" s="193"/>
      <c r="T20" s="194" t="s">
        <v>42</v>
      </c>
      <c r="U20" s="195"/>
      <c r="V20" s="196"/>
      <c r="W20" s="197" t="s">
        <v>91</v>
      </c>
      <c r="X20" s="198"/>
      <c r="Y20" s="197">
        <v>4</v>
      </c>
      <c r="Z20" s="198"/>
      <c r="AA20" s="197"/>
      <c r="AB20" s="198"/>
      <c r="AC20" s="47"/>
      <c r="AD20" s="22"/>
      <c r="AE20" s="22"/>
      <c r="AF20" s="22"/>
      <c r="AG20" s="49"/>
      <c r="AH20" s="197"/>
      <c r="AI20" s="198"/>
      <c r="AJ20" s="199"/>
      <c r="AK20" s="200"/>
      <c r="AL20" s="197"/>
      <c r="AM20" s="201"/>
      <c r="AN20" s="198"/>
      <c r="AO20" s="192"/>
      <c r="AP20" s="192"/>
      <c r="AQ20" s="192"/>
      <c r="AR20" s="192"/>
      <c r="AS20" s="192"/>
      <c r="AT20" s="192"/>
      <c r="AU20" s="192"/>
      <c r="AV20" s="192"/>
      <c r="AW20" s="192"/>
      <c r="AX20" s="192"/>
      <c r="AY20" s="193"/>
    </row>
    <row r="21" spans="1:51">
      <c r="A21" s="189">
        <f>ROW()-11</f>
        <v>10</v>
      </c>
      <c r="B21" s="190"/>
      <c r="C21" s="61" t="s">
        <v>86</v>
      </c>
      <c r="D21" s="59"/>
      <c r="E21" s="59"/>
      <c r="F21" s="59"/>
      <c r="G21" s="59"/>
      <c r="H21" s="59"/>
      <c r="I21" s="59"/>
      <c r="J21" s="59"/>
      <c r="K21" s="60"/>
      <c r="L21" s="191" t="s">
        <v>99</v>
      </c>
      <c r="M21" s="192"/>
      <c r="N21" s="192"/>
      <c r="O21" s="192"/>
      <c r="P21" s="192"/>
      <c r="Q21" s="192"/>
      <c r="R21" s="192"/>
      <c r="S21" s="193"/>
      <c r="T21" s="194" t="s">
        <v>42</v>
      </c>
      <c r="U21" s="195"/>
      <c r="V21" s="196"/>
      <c r="W21" s="197">
        <v>1</v>
      </c>
      <c r="X21" s="198"/>
      <c r="Y21" s="197">
        <v>1</v>
      </c>
      <c r="Z21" s="198"/>
      <c r="AA21" s="197"/>
      <c r="AB21" s="198"/>
      <c r="AC21" s="47"/>
      <c r="AD21" s="22"/>
      <c r="AE21" s="22"/>
      <c r="AF21" s="22"/>
      <c r="AG21" s="49"/>
      <c r="AH21" s="197"/>
      <c r="AI21" s="198"/>
      <c r="AJ21" s="199"/>
      <c r="AK21" s="200"/>
      <c r="AL21" s="197">
        <v>0</v>
      </c>
      <c r="AM21" s="201"/>
      <c r="AN21" s="198"/>
      <c r="AO21" s="192" t="s">
        <v>44</v>
      </c>
      <c r="AP21" s="192"/>
      <c r="AQ21" s="192"/>
      <c r="AR21" s="192"/>
      <c r="AS21" s="192"/>
      <c r="AT21" s="192"/>
      <c r="AU21" s="192"/>
      <c r="AV21" s="192"/>
      <c r="AW21" s="192"/>
      <c r="AX21" s="192"/>
      <c r="AY21" s="193"/>
    </row>
    <row r="22" spans="1:51">
      <c r="A22" s="202">
        <f t="shared" si="0"/>
        <v>11</v>
      </c>
      <c r="B22" s="204"/>
      <c r="C22" s="48" t="s">
        <v>159</v>
      </c>
      <c r="D22" s="42"/>
      <c r="E22" s="42"/>
      <c r="F22" s="42"/>
      <c r="G22" s="42"/>
      <c r="H22" s="42"/>
      <c r="I22" s="42"/>
      <c r="J22" s="42"/>
      <c r="K22" s="44"/>
      <c r="L22" s="48" t="s">
        <v>159</v>
      </c>
      <c r="M22" s="42"/>
      <c r="N22" s="42"/>
      <c r="O22" s="42"/>
      <c r="P22" s="42"/>
      <c r="Q22" s="42"/>
      <c r="R22" s="42"/>
      <c r="S22" s="44"/>
      <c r="T22" s="207" t="s">
        <v>42</v>
      </c>
      <c r="U22" s="208"/>
      <c r="V22" s="209"/>
      <c r="W22" s="220" t="s">
        <v>127</v>
      </c>
      <c r="X22" s="221"/>
      <c r="Y22" s="220">
        <v>2</v>
      </c>
      <c r="Z22" s="221"/>
      <c r="AA22" s="215">
        <v>1</v>
      </c>
      <c r="AB22" s="216"/>
      <c r="AC22" s="46"/>
      <c r="AD22" s="24"/>
      <c r="AE22" s="24"/>
      <c r="AF22" s="24"/>
      <c r="AG22" s="51"/>
      <c r="AH22" s="215"/>
      <c r="AI22" s="216"/>
      <c r="AJ22" s="212" t="s">
        <v>128</v>
      </c>
      <c r="AK22" s="213"/>
      <c r="AL22" s="215"/>
      <c r="AM22" s="217"/>
      <c r="AN22" s="216"/>
      <c r="AO22" s="205"/>
      <c r="AP22" s="205"/>
      <c r="AQ22" s="205"/>
      <c r="AR22" s="205"/>
      <c r="AS22" s="205"/>
      <c r="AT22" s="205"/>
      <c r="AU22" s="205"/>
      <c r="AV22" s="205"/>
      <c r="AW22" s="205"/>
      <c r="AX22" s="205"/>
      <c r="AY22" s="206"/>
    </row>
    <row r="23" spans="1:51">
      <c r="A23" s="202">
        <f t="shared" si="0"/>
        <v>12</v>
      </c>
      <c r="B23" s="204"/>
      <c r="C23" s="48" t="s">
        <v>160</v>
      </c>
      <c r="D23" s="42"/>
      <c r="E23" s="42"/>
      <c r="F23" s="42"/>
      <c r="G23" s="42"/>
      <c r="H23" s="42"/>
      <c r="I23" s="42"/>
      <c r="J23" s="42"/>
      <c r="K23" s="44"/>
      <c r="L23" s="48" t="s">
        <v>160</v>
      </c>
      <c r="M23" s="42"/>
      <c r="N23" s="42"/>
      <c r="O23" s="42"/>
      <c r="P23" s="42"/>
      <c r="Q23" s="42"/>
      <c r="R23" s="42"/>
      <c r="S23" s="44"/>
      <c r="T23" s="207" t="s">
        <v>40</v>
      </c>
      <c r="U23" s="208"/>
      <c r="V23" s="209"/>
      <c r="W23" s="202">
        <v>60</v>
      </c>
      <c r="X23" s="204"/>
      <c r="Y23" s="202">
        <v>60</v>
      </c>
      <c r="Z23" s="204"/>
      <c r="AA23" s="202"/>
      <c r="AB23" s="204"/>
      <c r="AC23" s="46"/>
      <c r="AD23" s="24"/>
      <c r="AE23" s="24"/>
      <c r="AF23" s="24"/>
      <c r="AG23" s="51"/>
      <c r="AH23" s="202"/>
      <c r="AI23" s="204"/>
      <c r="AJ23" s="212"/>
      <c r="AK23" s="213"/>
      <c r="AL23" s="202"/>
      <c r="AM23" s="203"/>
      <c r="AN23" s="204"/>
      <c r="AO23" s="205"/>
      <c r="AP23" s="205"/>
      <c r="AQ23" s="205"/>
      <c r="AR23" s="205"/>
      <c r="AS23" s="205"/>
      <c r="AT23" s="205"/>
      <c r="AU23" s="205"/>
      <c r="AV23" s="205"/>
      <c r="AW23" s="205"/>
      <c r="AX23" s="205"/>
      <c r="AY23" s="206"/>
    </row>
    <row r="24" spans="1:51">
      <c r="A24" s="202">
        <f t="shared" si="0"/>
        <v>13</v>
      </c>
      <c r="B24" s="204"/>
      <c r="C24" s="48" t="s">
        <v>161</v>
      </c>
      <c r="D24" s="42"/>
      <c r="E24" s="42"/>
      <c r="F24" s="42"/>
      <c r="G24" s="42"/>
      <c r="H24" s="42"/>
      <c r="I24" s="42"/>
      <c r="J24" s="42"/>
      <c r="K24" s="44"/>
      <c r="L24" s="48" t="s">
        <v>161</v>
      </c>
      <c r="M24" s="42"/>
      <c r="N24" s="42"/>
      <c r="O24" s="42"/>
      <c r="P24" s="42"/>
      <c r="Q24" s="42"/>
      <c r="R24" s="42"/>
      <c r="S24" s="44"/>
      <c r="T24" s="207" t="s">
        <v>40</v>
      </c>
      <c r="U24" s="208"/>
      <c r="V24" s="209"/>
      <c r="W24" s="202">
        <v>60</v>
      </c>
      <c r="X24" s="204"/>
      <c r="Y24" s="202">
        <v>60</v>
      </c>
      <c r="Z24" s="204"/>
      <c r="AA24" s="202"/>
      <c r="AB24" s="204"/>
      <c r="AC24" s="46"/>
      <c r="AD24" s="24"/>
      <c r="AE24" s="24"/>
      <c r="AF24" s="24"/>
      <c r="AG24" s="51"/>
      <c r="AH24" s="202"/>
      <c r="AI24" s="204"/>
      <c r="AJ24" s="100"/>
      <c r="AK24" s="102"/>
      <c r="AL24" s="202"/>
      <c r="AM24" s="203"/>
      <c r="AN24" s="204"/>
      <c r="AO24" s="205"/>
      <c r="AP24" s="205"/>
      <c r="AQ24" s="205"/>
      <c r="AR24" s="205"/>
      <c r="AS24" s="205"/>
      <c r="AT24" s="205"/>
      <c r="AU24" s="205"/>
      <c r="AV24" s="205"/>
      <c r="AW24" s="205"/>
      <c r="AX24" s="205"/>
      <c r="AY24" s="206"/>
    </row>
    <row r="25" spans="1:51">
      <c r="A25" s="202">
        <f t="shared" si="0"/>
        <v>14</v>
      </c>
      <c r="B25" s="204"/>
      <c r="C25" s="48" t="s">
        <v>162</v>
      </c>
      <c r="D25" s="42"/>
      <c r="E25" s="42"/>
      <c r="F25" s="42"/>
      <c r="G25" s="42"/>
      <c r="H25" s="42"/>
      <c r="I25" s="42"/>
      <c r="J25" s="42"/>
      <c r="K25" s="44"/>
      <c r="L25" s="48" t="s">
        <v>162</v>
      </c>
      <c r="M25" s="42"/>
      <c r="N25" s="42"/>
      <c r="O25" s="42"/>
      <c r="P25" s="42"/>
      <c r="Q25" s="42"/>
      <c r="R25" s="42"/>
      <c r="S25" s="44"/>
      <c r="T25" s="207" t="s">
        <v>40</v>
      </c>
      <c r="U25" s="208"/>
      <c r="V25" s="209"/>
      <c r="W25" s="202">
        <v>5</v>
      </c>
      <c r="X25" s="204"/>
      <c r="Y25" s="202">
        <v>5</v>
      </c>
      <c r="Z25" s="204"/>
      <c r="AA25" s="202"/>
      <c r="AB25" s="204"/>
      <c r="AC25" s="45"/>
      <c r="AD25" s="23"/>
      <c r="AE25" s="23"/>
      <c r="AF25" s="23"/>
      <c r="AG25" s="50"/>
      <c r="AH25" s="202"/>
      <c r="AI25" s="204"/>
      <c r="AJ25" s="100"/>
      <c r="AK25" s="102"/>
      <c r="AL25" s="202"/>
      <c r="AM25" s="203"/>
      <c r="AN25" s="204"/>
      <c r="AO25" s="205"/>
      <c r="AP25" s="205"/>
      <c r="AQ25" s="205"/>
      <c r="AR25" s="205"/>
      <c r="AS25" s="205"/>
      <c r="AT25" s="205"/>
      <c r="AU25" s="205"/>
      <c r="AV25" s="205"/>
      <c r="AW25" s="205"/>
      <c r="AX25" s="205"/>
      <c r="AY25" s="206"/>
    </row>
    <row r="26" spans="1:51">
      <c r="A26" s="202">
        <f t="shared" si="0"/>
        <v>15</v>
      </c>
      <c r="B26" s="204"/>
      <c r="C26" s="48"/>
      <c r="D26" s="42"/>
      <c r="E26" s="42"/>
      <c r="F26" s="42"/>
      <c r="G26" s="42"/>
      <c r="H26" s="42"/>
      <c r="I26" s="42"/>
      <c r="J26" s="42"/>
      <c r="K26" s="44"/>
      <c r="L26" s="48"/>
      <c r="M26" s="42"/>
      <c r="N26" s="42"/>
      <c r="O26" s="42"/>
      <c r="P26" s="42"/>
      <c r="Q26" s="42"/>
      <c r="R26" s="42"/>
      <c r="S26" s="44"/>
      <c r="T26" s="207"/>
      <c r="U26" s="208"/>
      <c r="V26" s="209"/>
      <c r="W26" s="202"/>
      <c r="X26" s="204"/>
      <c r="Y26" s="202"/>
      <c r="Z26" s="204"/>
      <c r="AA26" s="215"/>
      <c r="AB26" s="216"/>
      <c r="AC26" s="46"/>
      <c r="AD26" s="24"/>
      <c r="AE26" s="24"/>
      <c r="AF26" s="24"/>
      <c r="AG26" s="51"/>
      <c r="AH26" s="215"/>
      <c r="AI26" s="216"/>
      <c r="AJ26" s="100"/>
      <c r="AK26" s="102"/>
      <c r="AL26" s="215"/>
      <c r="AM26" s="217"/>
      <c r="AN26" s="216"/>
      <c r="AO26" s="205"/>
      <c r="AP26" s="205"/>
      <c r="AQ26" s="205"/>
      <c r="AR26" s="205"/>
      <c r="AS26" s="205"/>
      <c r="AT26" s="205"/>
      <c r="AU26" s="205"/>
      <c r="AV26" s="205"/>
      <c r="AW26" s="205"/>
      <c r="AX26" s="205"/>
      <c r="AY26" s="206"/>
    </row>
    <row r="27" spans="1:51">
      <c r="A27" s="218">
        <f t="shared" si="0"/>
        <v>16</v>
      </c>
      <c r="B27" s="219"/>
      <c r="C27" s="48"/>
      <c r="D27" s="42"/>
      <c r="E27" s="42"/>
      <c r="F27" s="42"/>
      <c r="G27" s="42"/>
      <c r="H27" s="42"/>
      <c r="I27" s="42"/>
      <c r="J27" s="42"/>
      <c r="K27" s="44"/>
      <c r="L27" s="48"/>
      <c r="M27" s="42"/>
      <c r="N27" s="42"/>
      <c r="O27" s="42"/>
      <c r="P27" s="42"/>
      <c r="Q27" s="42"/>
      <c r="R27" s="42"/>
      <c r="S27" s="44"/>
      <c r="T27" s="207"/>
      <c r="U27" s="208"/>
      <c r="V27" s="209"/>
      <c r="W27" s="202"/>
      <c r="X27" s="204"/>
      <c r="Y27" s="202"/>
      <c r="Z27" s="204"/>
      <c r="AA27" s="220"/>
      <c r="AB27" s="221"/>
      <c r="AC27" s="45"/>
      <c r="AD27" s="23"/>
      <c r="AE27" s="23"/>
      <c r="AF27" s="23"/>
      <c r="AG27" s="50"/>
      <c r="AH27" s="220"/>
      <c r="AI27" s="221"/>
      <c r="AJ27" s="223"/>
      <c r="AK27" s="224"/>
      <c r="AL27" s="220"/>
      <c r="AM27" s="222"/>
      <c r="AN27" s="221"/>
      <c r="AO27" s="205"/>
      <c r="AP27" s="205"/>
      <c r="AQ27" s="205"/>
      <c r="AR27" s="205"/>
      <c r="AS27" s="205"/>
      <c r="AT27" s="205"/>
      <c r="AU27" s="205"/>
      <c r="AV27" s="205"/>
      <c r="AW27" s="205"/>
      <c r="AX27" s="205"/>
      <c r="AY27" s="206"/>
    </row>
    <row r="28" spans="1:51">
      <c r="A28" s="218">
        <f t="shared" si="0"/>
        <v>17</v>
      </c>
      <c r="B28" s="219"/>
      <c r="C28" s="48"/>
      <c r="D28" s="42"/>
      <c r="E28" s="42"/>
      <c r="F28" s="42"/>
      <c r="G28" s="42"/>
      <c r="H28" s="42"/>
      <c r="I28" s="42"/>
      <c r="J28" s="42"/>
      <c r="K28" s="44"/>
      <c r="L28" s="48"/>
      <c r="M28" s="42"/>
      <c r="N28" s="42"/>
      <c r="O28" s="42"/>
      <c r="P28" s="42"/>
      <c r="Q28" s="42"/>
      <c r="R28" s="42"/>
      <c r="S28" s="44"/>
      <c r="T28" s="207"/>
      <c r="U28" s="208"/>
      <c r="V28" s="209"/>
      <c r="W28" s="202"/>
      <c r="X28" s="204"/>
      <c r="Y28" s="202"/>
      <c r="Z28" s="204"/>
      <c r="AA28" s="202"/>
      <c r="AB28" s="204"/>
      <c r="AC28" s="45"/>
      <c r="AD28" s="23"/>
      <c r="AE28" s="23"/>
      <c r="AF28" s="23"/>
      <c r="AG28" s="50"/>
      <c r="AH28" s="202"/>
      <c r="AI28" s="204"/>
      <c r="AJ28" s="100"/>
      <c r="AK28" s="102"/>
      <c r="AL28" s="202"/>
      <c r="AM28" s="203"/>
      <c r="AN28" s="204"/>
      <c r="AO28" s="205"/>
      <c r="AP28" s="205"/>
      <c r="AQ28" s="205"/>
      <c r="AR28" s="205"/>
      <c r="AS28" s="205"/>
      <c r="AT28" s="205"/>
      <c r="AU28" s="205"/>
      <c r="AV28" s="205"/>
      <c r="AW28" s="205"/>
      <c r="AX28" s="205"/>
      <c r="AY28" s="206"/>
    </row>
    <row r="29" spans="1:51">
      <c r="A29" s="218">
        <f t="shared" si="0"/>
        <v>18</v>
      </c>
      <c r="B29" s="219"/>
      <c r="C29" s="48"/>
      <c r="D29" s="42"/>
      <c r="E29" s="42"/>
      <c r="F29" s="42"/>
      <c r="G29" s="42"/>
      <c r="H29" s="42"/>
      <c r="I29" s="42"/>
      <c r="J29" s="42"/>
      <c r="K29" s="44"/>
      <c r="L29" s="48"/>
      <c r="M29" s="42"/>
      <c r="N29" s="42"/>
      <c r="O29" s="42"/>
      <c r="P29" s="42"/>
      <c r="Q29" s="42"/>
      <c r="R29" s="42"/>
      <c r="S29" s="44"/>
      <c r="T29" s="207"/>
      <c r="U29" s="208"/>
      <c r="V29" s="209"/>
      <c r="W29" s="202"/>
      <c r="X29" s="204"/>
      <c r="Y29" s="202"/>
      <c r="Z29" s="204"/>
      <c r="AA29" s="202"/>
      <c r="AB29" s="204"/>
      <c r="AC29" s="45"/>
      <c r="AD29" s="23"/>
      <c r="AE29" s="23"/>
      <c r="AF29" s="23"/>
      <c r="AG29" s="50"/>
      <c r="AH29" s="202"/>
      <c r="AI29" s="204"/>
      <c r="AJ29" s="100"/>
      <c r="AK29" s="102"/>
      <c r="AL29" s="202"/>
      <c r="AM29" s="203"/>
      <c r="AN29" s="204"/>
      <c r="AO29" s="205"/>
      <c r="AP29" s="205"/>
      <c r="AQ29" s="205"/>
      <c r="AR29" s="205"/>
      <c r="AS29" s="205"/>
      <c r="AT29" s="205"/>
      <c r="AU29" s="205"/>
      <c r="AV29" s="205"/>
      <c r="AW29" s="205"/>
      <c r="AX29" s="205"/>
      <c r="AY29" s="206"/>
    </row>
    <row r="30" spans="1:51">
      <c r="A30" s="218">
        <f t="shared" si="0"/>
        <v>19</v>
      </c>
      <c r="B30" s="219"/>
      <c r="C30" s="48"/>
      <c r="D30" s="42"/>
      <c r="E30" s="42"/>
      <c r="F30" s="42"/>
      <c r="G30" s="42"/>
      <c r="H30" s="42"/>
      <c r="I30" s="42"/>
      <c r="J30" s="42"/>
      <c r="K30" s="44"/>
      <c r="L30" s="48"/>
      <c r="M30" s="42"/>
      <c r="N30" s="42"/>
      <c r="O30" s="42"/>
      <c r="P30" s="42"/>
      <c r="Q30" s="42"/>
      <c r="R30" s="42"/>
      <c r="S30" s="44"/>
      <c r="T30" s="207"/>
      <c r="U30" s="208"/>
      <c r="V30" s="209"/>
      <c r="W30" s="202"/>
      <c r="X30" s="204"/>
      <c r="Y30" s="202"/>
      <c r="Z30" s="204"/>
      <c r="AA30" s="220"/>
      <c r="AB30" s="221"/>
      <c r="AC30" s="45"/>
      <c r="AD30" s="23"/>
      <c r="AE30" s="23"/>
      <c r="AF30" s="23"/>
      <c r="AG30" s="50"/>
      <c r="AH30" s="220"/>
      <c r="AI30" s="221"/>
      <c r="AJ30" s="223"/>
      <c r="AK30" s="224"/>
      <c r="AL30" s="220"/>
      <c r="AM30" s="222"/>
      <c r="AN30" s="221"/>
      <c r="AO30" s="205"/>
      <c r="AP30" s="205"/>
      <c r="AQ30" s="205"/>
      <c r="AR30" s="205"/>
      <c r="AS30" s="205"/>
      <c r="AT30" s="205"/>
      <c r="AU30" s="205"/>
      <c r="AV30" s="205"/>
      <c r="AW30" s="205"/>
      <c r="AX30" s="205"/>
      <c r="AY30" s="206"/>
    </row>
    <row r="31" spans="1:51">
      <c r="A31" s="218">
        <f t="shared" si="0"/>
        <v>20</v>
      </c>
      <c r="B31" s="219"/>
      <c r="C31" s="48"/>
      <c r="D31" s="42"/>
      <c r="E31" s="42"/>
      <c r="F31" s="42"/>
      <c r="G31" s="42"/>
      <c r="H31" s="42"/>
      <c r="I31" s="42"/>
      <c r="J31" s="42"/>
      <c r="K31" s="44"/>
      <c r="L31" s="48"/>
      <c r="M31" s="42"/>
      <c r="N31" s="42"/>
      <c r="O31" s="42"/>
      <c r="P31" s="42"/>
      <c r="Q31" s="42"/>
      <c r="R31" s="42"/>
      <c r="S31" s="44"/>
      <c r="T31" s="207"/>
      <c r="U31" s="208"/>
      <c r="V31" s="209"/>
      <c r="W31" s="202"/>
      <c r="X31" s="204"/>
      <c r="Y31" s="220"/>
      <c r="Z31" s="221"/>
      <c r="AA31" s="220"/>
      <c r="AB31" s="221"/>
      <c r="AC31" s="45"/>
      <c r="AD31" s="23"/>
      <c r="AE31" s="23"/>
      <c r="AF31" s="23"/>
      <c r="AG31" s="50"/>
      <c r="AH31" s="220"/>
      <c r="AI31" s="221"/>
      <c r="AJ31" s="223"/>
      <c r="AK31" s="224"/>
      <c r="AL31" s="220"/>
      <c r="AM31" s="222"/>
      <c r="AN31" s="221"/>
      <c r="AO31" s="205"/>
      <c r="AP31" s="205"/>
      <c r="AQ31" s="205"/>
      <c r="AR31" s="205"/>
      <c r="AS31" s="205"/>
      <c r="AT31" s="205"/>
      <c r="AU31" s="205"/>
      <c r="AV31" s="205"/>
      <c r="AW31" s="205"/>
      <c r="AX31" s="205"/>
      <c r="AY31" s="206"/>
    </row>
    <row r="32" spans="1:51">
      <c r="A32" s="218">
        <f t="shared" si="0"/>
        <v>21</v>
      </c>
      <c r="B32" s="219"/>
      <c r="C32" s="48"/>
      <c r="D32" s="42"/>
      <c r="E32" s="42"/>
      <c r="F32" s="42"/>
      <c r="G32" s="42"/>
      <c r="H32" s="42"/>
      <c r="I32" s="42"/>
      <c r="J32" s="42"/>
      <c r="K32" s="44"/>
      <c r="L32" s="48"/>
      <c r="M32" s="42"/>
      <c r="N32" s="42"/>
      <c r="O32" s="42"/>
      <c r="P32" s="42"/>
      <c r="Q32" s="42"/>
      <c r="R32" s="42"/>
      <c r="S32" s="44"/>
      <c r="T32" s="207"/>
      <c r="U32" s="208"/>
      <c r="V32" s="209"/>
      <c r="W32" s="202"/>
      <c r="X32" s="204"/>
      <c r="Y32" s="220"/>
      <c r="Z32" s="221"/>
      <c r="AA32" s="220"/>
      <c r="AB32" s="221"/>
      <c r="AC32" s="45"/>
      <c r="AD32" s="23"/>
      <c r="AE32" s="23"/>
      <c r="AF32" s="23"/>
      <c r="AG32" s="50"/>
      <c r="AH32" s="220"/>
      <c r="AI32" s="221"/>
      <c r="AJ32" s="223"/>
      <c r="AK32" s="224"/>
      <c r="AL32" s="220"/>
      <c r="AM32" s="222"/>
      <c r="AN32" s="221"/>
      <c r="AO32" s="205"/>
      <c r="AP32" s="205"/>
      <c r="AQ32" s="205"/>
      <c r="AR32" s="205"/>
      <c r="AS32" s="205"/>
      <c r="AT32" s="205"/>
      <c r="AU32" s="205"/>
      <c r="AV32" s="205"/>
      <c r="AW32" s="205"/>
      <c r="AX32" s="205"/>
      <c r="AY32" s="206"/>
    </row>
    <row r="33" spans="1:51">
      <c r="A33" s="218">
        <f t="shared" si="0"/>
        <v>22</v>
      </c>
      <c r="B33" s="219"/>
      <c r="C33" s="48"/>
      <c r="D33" s="42"/>
      <c r="E33" s="42"/>
      <c r="F33" s="42"/>
      <c r="G33" s="42"/>
      <c r="H33" s="42"/>
      <c r="I33" s="42"/>
      <c r="J33" s="42"/>
      <c r="K33" s="44"/>
      <c r="L33" s="48"/>
      <c r="M33" s="42"/>
      <c r="N33" s="42"/>
      <c r="O33" s="42"/>
      <c r="P33" s="42"/>
      <c r="Q33" s="42"/>
      <c r="R33" s="42"/>
      <c r="S33" s="44"/>
      <c r="T33" s="207"/>
      <c r="U33" s="208"/>
      <c r="V33" s="209"/>
      <c r="W33" s="202"/>
      <c r="X33" s="204"/>
      <c r="Y33" s="220"/>
      <c r="Z33" s="221"/>
      <c r="AA33" s="220"/>
      <c r="AB33" s="221"/>
      <c r="AC33" s="45"/>
      <c r="AD33" s="23"/>
      <c r="AE33" s="23"/>
      <c r="AF33" s="23"/>
      <c r="AG33" s="50"/>
      <c r="AH33" s="220"/>
      <c r="AI33" s="221"/>
      <c r="AJ33" s="223"/>
      <c r="AK33" s="224"/>
      <c r="AL33" s="220"/>
      <c r="AM33" s="222"/>
      <c r="AN33" s="221"/>
      <c r="AO33" s="205"/>
      <c r="AP33" s="205"/>
      <c r="AQ33" s="205"/>
      <c r="AR33" s="205"/>
      <c r="AS33" s="205"/>
      <c r="AT33" s="205"/>
      <c r="AU33" s="205"/>
      <c r="AV33" s="205"/>
      <c r="AW33" s="205"/>
      <c r="AX33" s="205"/>
      <c r="AY33" s="206"/>
    </row>
    <row r="34" spans="1:51">
      <c r="A34" s="218">
        <f t="shared" si="0"/>
        <v>23</v>
      </c>
      <c r="B34" s="219"/>
      <c r="C34" s="48"/>
      <c r="D34" s="42"/>
      <c r="E34" s="42"/>
      <c r="F34" s="42"/>
      <c r="G34" s="42"/>
      <c r="H34" s="42"/>
      <c r="I34" s="42"/>
      <c r="J34" s="42"/>
      <c r="K34" s="44"/>
      <c r="L34" s="48"/>
      <c r="M34" s="42"/>
      <c r="N34" s="42"/>
      <c r="O34" s="42"/>
      <c r="P34" s="42"/>
      <c r="Q34" s="42"/>
      <c r="R34" s="42"/>
      <c r="S34" s="44"/>
      <c r="T34" s="207"/>
      <c r="U34" s="208"/>
      <c r="V34" s="209"/>
      <c r="W34" s="202"/>
      <c r="X34" s="204"/>
      <c r="Y34" s="202"/>
      <c r="Z34" s="204"/>
      <c r="AA34" s="220"/>
      <c r="AB34" s="221"/>
      <c r="AC34" s="45"/>
      <c r="AD34" s="23"/>
      <c r="AE34" s="23"/>
      <c r="AF34" s="23"/>
      <c r="AG34" s="50"/>
      <c r="AH34" s="220"/>
      <c r="AI34" s="221"/>
      <c r="AJ34" s="223"/>
      <c r="AK34" s="224"/>
      <c r="AL34" s="220"/>
      <c r="AM34" s="222"/>
      <c r="AN34" s="221"/>
      <c r="AO34" s="205"/>
      <c r="AP34" s="205"/>
      <c r="AQ34" s="205"/>
      <c r="AR34" s="205"/>
      <c r="AS34" s="205"/>
      <c r="AT34" s="205"/>
      <c r="AU34" s="205"/>
      <c r="AV34" s="205"/>
      <c r="AW34" s="205"/>
      <c r="AX34" s="205"/>
      <c r="AY34" s="206"/>
    </row>
    <row r="35" spans="1:51">
      <c r="A35" s="218">
        <f t="shared" si="0"/>
        <v>24</v>
      </c>
      <c r="B35" s="219"/>
      <c r="C35" s="48"/>
      <c r="D35" s="42"/>
      <c r="E35" s="42"/>
      <c r="F35" s="42"/>
      <c r="G35" s="42"/>
      <c r="H35" s="42"/>
      <c r="I35" s="42"/>
      <c r="J35" s="42"/>
      <c r="K35" s="44"/>
      <c r="L35" s="48"/>
      <c r="M35" s="42"/>
      <c r="N35" s="42"/>
      <c r="O35" s="42"/>
      <c r="P35" s="42"/>
      <c r="Q35" s="42"/>
      <c r="R35" s="42"/>
      <c r="S35" s="44"/>
      <c r="T35" s="207"/>
      <c r="U35" s="208"/>
      <c r="V35" s="209"/>
      <c r="W35" s="202"/>
      <c r="X35" s="204"/>
      <c r="Y35" s="202"/>
      <c r="Z35" s="204"/>
      <c r="AA35" s="220"/>
      <c r="AB35" s="221"/>
      <c r="AC35" s="45"/>
      <c r="AD35" s="23"/>
      <c r="AE35" s="23"/>
      <c r="AF35" s="23"/>
      <c r="AG35" s="50"/>
      <c r="AH35" s="220"/>
      <c r="AI35" s="221"/>
      <c r="AJ35" s="223"/>
      <c r="AK35" s="224"/>
      <c r="AL35" s="220"/>
      <c r="AM35" s="222"/>
      <c r="AN35" s="221"/>
      <c r="AO35" s="205"/>
      <c r="AP35" s="205"/>
      <c r="AQ35" s="205"/>
      <c r="AR35" s="205"/>
      <c r="AS35" s="205"/>
      <c r="AT35" s="205"/>
      <c r="AU35" s="205"/>
      <c r="AV35" s="205"/>
      <c r="AW35" s="205"/>
      <c r="AX35" s="205"/>
      <c r="AY35" s="206"/>
    </row>
    <row r="36" spans="1:51">
      <c r="A36" s="218">
        <f t="shared" si="0"/>
        <v>25</v>
      </c>
      <c r="B36" s="219"/>
      <c r="C36" s="48"/>
      <c r="D36" s="42"/>
      <c r="E36" s="42"/>
      <c r="F36" s="42"/>
      <c r="G36" s="42"/>
      <c r="H36" s="42"/>
      <c r="I36" s="42"/>
      <c r="J36" s="42"/>
      <c r="K36" s="44"/>
      <c r="L36" s="48"/>
      <c r="M36" s="42"/>
      <c r="N36" s="42"/>
      <c r="O36" s="42"/>
      <c r="P36" s="42"/>
      <c r="Q36" s="42"/>
      <c r="R36" s="42"/>
      <c r="S36" s="44"/>
      <c r="T36" s="207"/>
      <c r="U36" s="208"/>
      <c r="V36" s="209"/>
      <c r="W36" s="202"/>
      <c r="X36" s="204"/>
      <c r="Y36" s="220"/>
      <c r="Z36" s="221"/>
      <c r="AA36" s="215"/>
      <c r="AB36" s="216"/>
      <c r="AC36" s="46"/>
      <c r="AD36" s="24"/>
      <c r="AE36" s="24"/>
      <c r="AF36" s="24"/>
      <c r="AG36" s="51"/>
      <c r="AH36" s="215"/>
      <c r="AI36" s="216"/>
      <c r="AJ36" s="212"/>
      <c r="AK36" s="213"/>
      <c r="AL36" s="215"/>
      <c r="AM36" s="217"/>
      <c r="AN36" s="216"/>
      <c r="AO36" s="205"/>
      <c r="AP36" s="205"/>
      <c r="AQ36" s="205"/>
      <c r="AR36" s="205"/>
      <c r="AS36" s="205"/>
      <c r="AT36" s="205"/>
      <c r="AU36" s="205"/>
      <c r="AV36" s="205"/>
      <c r="AW36" s="205"/>
      <c r="AX36" s="205"/>
      <c r="AY36" s="206"/>
    </row>
    <row r="37" spans="1:51">
      <c r="A37" s="202">
        <f t="shared" si="0"/>
        <v>26</v>
      </c>
      <c r="B37" s="204"/>
      <c r="C37" s="48"/>
      <c r="D37" s="42"/>
      <c r="E37" s="42"/>
      <c r="F37" s="42"/>
      <c r="G37" s="42"/>
      <c r="H37" s="42"/>
      <c r="I37" s="42"/>
      <c r="J37" s="42"/>
      <c r="K37" s="44"/>
      <c r="L37" s="48"/>
      <c r="M37" s="42"/>
      <c r="N37" s="42"/>
      <c r="O37" s="42"/>
      <c r="P37" s="42"/>
      <c r="Q37" s="42"/>
      <c r="R37" s="42"/>
      <c r="S37" s="44"/>
      <c r="T37" s="207"/>
      <c r="U37" s="208"/>
      <c r="V37" s="209"/>
      <c r="W37" s="202"/>
      <c r="X37" s="204"/>
      <c r="Y37" s="220"/>
      <c r="Z37" s="221"/>
      <c r="AA37" s="215"/>
      <c r="AB37" s="216"/>
      <c r="AC37" s="46"/>
      <c r="AD37" s="24"/>
      <c r="AE37" s="24"/>
      <c r="AF37" s="24"/>
      <c r="AG37" s="51"/>
      <c r="AH37" s="215"/>
      <c r="AI37" s="216"/>
      <c r="AJ37" s="212"/>
      <c r="AK37" s="213"/>
      <c r="AL37" s="215"/>
      <c r="AM37" s="217"/>
      <c r="AN37" s="216"/>
      <c r="AO37" s="205"/>
      <c r="AP37" s="205"/>
      <c r="AQ37" s="205"/>
      <c r="AR37" s="205"/>
      <c r="AS37" s="205"/>
      <c r="AT37" s="205"/>
      <c r="AU37" s="205"/>
      <c r="AV37" s="205"/>
      <c r="AW37" s="205"/>
      <c r="AX37" s="205"/>
      <c r="AY37" s="206"/>
    </row>
    <row r="38" spans="1:51">
      <c r="A38" s="218">
        <f t="shared" si="0"/>
        <v>27</v>
      </c>
      <c r="B38" s="219"/>
      <c r="C38" s="48"/>
      <c r="D38" s="42"/>
      <c r="E38" s="42"/>
      <c r="F38" s="42"/>
      <c r="G38" s="42"/>
      <c r="H38" s="42"/>
      <c r="I38" s="42"/>
      <c r="J38" s="42"/>
      <c r="K38" s="44"/>
      <c r="L38" s="48"/>
      <c r="M38" s="42"/>
      <c r="N38" s="42"/>
      <c r="O38" s="42"/>
      <c r="P38" s="42"/>
      <c r="Q38" s="42"/>
      <c r="R38" s="42"/>
      <c r="S38" s="44"/>
      <c r="T38" s="207"/>
      <c r="U38" s="208"/>
      <c r="V38" s="209"/>
      <c r="W38" s="202"/>
      <c r="X38" s="204"/>
      <c r="Y38" s="202"/>
      <c r="Z38" s="204"/>
      <c r="AA38" s="215"/>
      <c r="AB38" s="216"/>
      <c r="AC38" s="46"/>
      <c r="AD38" s="24"/>
      <c r="AE38" s="24"/>
      <c r="AF38" s="24"/>
      <c r="AG38" s="51"/>
      <c r="AH38" s="215"/>
      <c r="AI38" s="216"/>
      <c r="AJ38" s="212"/>
      <c r="AK38" s="213"/>
      <c r="AL38" s="215"/>
      <c r="AM38" s="217"/>
      <c r="AN38" s="216"/>
      <c r="AO38" s="205"/>
      <c r="AP38" s="205"/>
      <c r="AQ38" s="205"/>
      <c r="AR38" s="205"/>
      <c r="AS38" s="205"/>
      <c r="AT38" s="205"/>
      <c r="AU38" s="205"/>
      <c r="AV38" s="205"/>
      <c r="AW38" s="205"/>
      <c r="AX38" s="205"/>
      <c r="AY38" s="206"/>
    </row>
    <row r="39" spans="1:51">
      <c r="A39" s="202">
        <f t="shared" si="0"/>
        <v>28</v>
      </c>
      <c r="B39" s="204"/>
      <c r="C39" s="48"/>
      <c r="D39" s="42"/>
      <c r="E39" s="42"/>
      <c r="F39" s="42"/>
      <c r="G39" s="42"/>
      <c r="H39" s="42"/>
      <c r="I39" s="42"/>
      <c r="J39" s="42"/>
      <c r="K39" s="44"/>
      <c r="L39" s="48"/>
      <c r="M39" s="42"/>
      <c r="N39" s="42"/>
      <c r="O39" s="42"/>
      <c r="P39" s="42"/>
      <c r="Q39" s="42"/>
      <c r="R39" s="42"/>
      <c r="S39" s="44"/>
      <c r="T39" s="207"/>
      <c r="U39" s="208"/>
      <c r="V39" s="209"/>
      <c r="W39" s="220"/>
      <c r="X39" s="221"/>
      <c r="Y39" s="220"/>
      <c r="Z39" s="221"/>
      <c r="AA39" s="215"/>
      <c r="AB39" s="216"/>
      <c r="AC39" s="46"/>
      <c r="AD39" s="24"/>
      <c r="AE39" s="24"/>
      <c r="AF39" s="24"/>
      <c r="AG39" s="51"/>
      <c r="AH39" s="215"/>
      <c r="AI39" s="216"/>
      <c r="AJ39" s="212"/>
      <c r="AK39" s="213"/>
      <c r="AL39" s="215"/>
      <c r="AM39" s="217"/>
      <c r="AN39" s="216"/>
      <c r="AO39" s="205"/>
      <c r="AP39" s="205"/>
      <c r="AQ39" s="205"/>
      <c r="AR39" s="205"/>
      <c r="AS39" s="205"/>
      <c r="AT39" s="205"/>
      <c r="AU39" s="205"/>
      <c r="AV39" s="205"/>
      <c r="AW39" s="205"/>
      <c r="AX39" s="205"/>
      <c r="AY39" s="206"/>
    </row>
    <row r="40" spans="1:51">
      <c r="A40" s="202">
        <f t="shared" si="0"/>
        <v>29</v>
      </c>
      <c r="B40" s="204"/>
      <c r="C40" s="48"/>
      <c r="D40" s="42"/>
      <c r="E40" s="42"/>
      <c r="F40" s="42"/>
      <c r="G40" s="42"/>
      <c r="H40" s="42"/>
      <c r="I40" s="42"/>
      <c r="J40" s="42"/>
      <c r="K40" s="44"/>
      <c r="L40" s="48"/>
      <c r="M40" s="42"/>
      <c r="N40" s="42"/>
      <c r="O40" s="42"/>
      <c r="P40" s="42"/>
      <c r="Q40" s="42"/>
      <c r="R40" s="42"/>
      <c r="S40" s="44"/>
      <c r="T40" s="207"/>
      <c r="U40" s="208"/>
      <c r="V40" s="209"/>
      <c r="W40" s="220"/>
      <c r="X40" s="221"/>
      <c r="Y40" s="220"/>
      <c r="Z40" s="221"/>
      <c r="AA40" s="215"/>
      <c r="AB40" s="216"/>
      <c r="AC40" s="46"/>
      <c r="AD40" s="24"/>
      <c r="AE40" s="24"/>
      <c r="AF40" s="24"/>
      <c r="AG40" s="51"/>
      <c r="AH40" s="215"/>
      <c r="AI40" s="216"/>
      <c r="AJ40" s="212"/>
      <c r="AK40" s="213"/>
      <c r="AL40" s="215"/>
      <c r="AM40" s="217"/>
      <c r="AN40" s="216"/>
      <c r="AO40" s="205"/>
      <c r="AP40" s="205"/>
      <c r="AQ40" s="205"/>
      <c r="AR40" s="205"/>
      <c r="AS40" s="205"/>
      <c r="AT40" s="205"/>
      <c r="AU40" s="205"/>
      <c r="AV40" s="205"/>
      <c r="AW40" s="205"/>
      <c r="AX40" s="205"/>
      <c r="AY40" s="206"/>
    </row>
    <row r="41" spans="1:51">
      <c r="A41" s="218">
        <f t="shared" si="0"/>
        <v>30</v>
      </c>
      <c r="B41" s="219"/>
      <c r="C41" s="48"/>
      <c r="D41" s="42"/>
      <c r="E41" s="42"/>
      <c r="F41" s="42"/>
      <c r="G41" s="42"/>
      <c r="H41" s="42"/>
      <c r="I41" s="42"/>
      <c r="J41" s="42"/>
      <c r="K41" s="44"/>
      <c r="L41" s="48"/>
      <c r="M41" s="42"/>
      <c r="N41" s="42"/>
      <c r="O41" s="42"/>
      <c r="P41" s="42"/>
      <c r="Q41" s="42"/>
      <c r="R41" s="42"/>
      <c r="S41" s="44"/>
      <c r="T41" s="207"/>
      <c r="U41" s="208"/>
      <c r="V41" s="209"/>
      <c r="W41" s="220"/>
      <c r="X41" s="221"/>
      <c r="Y41" s="220"/>
      <c r="Z41" s="221"/>
      <c r="AA41" s="215"/>
      <c r="AB41" s="216"/>
      <c r="AC41" s="46"/>
      <c r="AD41" s="24"/>
      <c r="AE41" s="24"/>
      <c r="AF41" s="24"/>
      <c r="AG41" s="51"/>
      <c r="AH41" s="215"/>
      <c r="AI41" s="216"/>
      <c r="AJ41" s="212"/>
      <c r="AK41" s="213"/>
      <c r="AL41" s="215"/>
      <c r="AM41" s="217"/>
      <c r="AN41" s="216"/>
      <c r="AO41" s="205"/>
      <c r="AP41" s="205"/>
      <c r="AQ41" s="205"/>
      <c r="AR41" s="205"/>
      <c r="AS41" s="205"/>
      <c r="AT41" s="205"/>
      <c r="AU41" s="205"/>
      <c r="AV41" s="205"/>
      <c r="AW41" s="205"/>
      <c r="AX41" s="205"/>
      <c r="AY41" s="206"/>
    </row>
    <row r="42" spans="1:51">
      <c r="A42" s="202">
        <f t="shared" si="0"/>
        <v>31</v>
      </c>
      <c r="B42" s="204"/>
      <c r="C42" s="48"/>
      <c r="D42" s="42"/>
      <c r="E42" s="42"/>
      <c r="F42" s="42"/>
      <c r="G42" s="42"/>
      <c r="H42" s="42"/>
      <c r="I42" s="42"/>
      <c r="J42" s="42"/>
      <c r="K42" s="44"/>
      <c r="L42" s="48"/>
      <c r="M42" s="42"/>
      <c r="N42" s="42"/>
      <c r="O42" s="42"/>
      <c r="P42" s="42"/>
      <c r="Q42" s="42"/>
      <c r="R42" s="42"/>
      <c r="S42" s="44"/>
      <c r="T42" s="207"/>
      <c r="U42" s="208"/>
      <c r="V42" s="209"/>
      <c r="W42" s="220"/>
      <c r="X42" s="221"/>
      <c r="Y42" s="220"/>
      <c r="Z42" s="221"/>
      <c r="AA42" s="215"/>
      <c r="AB42" s="216"/>
      <c r="AC42" s="46"/>
      <c r="AD42" s="24"/>
      <c r="AE42" s="24"/>
      <c r="AF42" s="24"/>
      <c r="AG42" s="51"/>
      <c r="AH42" s="215"/>
      <c r="AI42" s="216"/>
      <c r="AJ42" s="212"/>
      <c r="AK42" s="213"/>
      <c r="AL42" s="215"/>
      <c r="AM42" s="217"/>
      <c r="AN42" s="216"/>
      <c r="AO42" s="205"/>
      <c r="AP42" s="205"/>
      <c r="AQ42" s="205"/>
      <c r="AR42" s="205"/>
      <c r="AS42" s="205"/>
      <c r="AT42" s="205"/>
      <c r="AU42" s="205"/>
      <c r="AV42" s="205"/>
      <c r="AW42" s="205"/>
      <c r="AX42" s="205"/>
      <c r="AY42" s="206"/>
    </row>
    <row r="43" spans="1:51">
      <c r="A43" s="202">
        <f t="shared" si="0"/>
        <v>32</v>
      </c>
      <c r="B43" s="204"/>
      <c r="C43" s="48"/>
      <c r="D43" s="42"/>
      <c r="E43" s="42"/>
      <c r="F43" s="42"/>
      <c r="G43" s="42"/>
      <c r="H43" s="42"/>
      <c r="I43" s="42"/>
      <c r="J43" s="42"/>
      <c r="K43" s="44"/>
      <c r="L43" s="48"/>
      <c r="M43" s="42"/>
      <c r="N43" s="42"/>
      <c r="O43" s="42"/>
      <c r="P43" s="42"/>
      <c r="Q43" s="42"/>
      <c r="R43" s="42"/>
      <c r="S43" s="44"/>
      <c r="T43" s="207"/>
      <c r="U43" s="208"/>
      <c r="V43" s="209"/>
      <c r="W43" s="220"/>
      <c r="X43" s="221"/>
      <c r="Y43" s="220"/>
      <c r="Z43" s="221"/>
      <c r="AA43" s="215"/>
      <c r="AB43" s="216"/>
      <c r="AC43" s="46"/>
      <c r="AD43" s="24"/>
      <c r="AE43" s="24"/>
      <c r="AF43" s="24"/>
      <c r="AG43" s="51"/>
      <c r="AH43" s="215"/>
      <c r="AI43" s="216"/>
      <c r="AJ43" s="212"/>
      <c r="AK43" s="213"/>
      <c r="AL43" s="215"/>
      <c r="AM43" s="217"/>
      <c r="AN43" s="216"/>
      <c r="AO43" s="205"/>
      <c r="AP43" s="205"/>
      <c r="AQ43" s="205"/>
      <c r="AR43" s="205"/>
      <c r="AS43" s="205"/>
      <c r="AT43" s="205"/>
      <c r="AU43" s="205"/>
      <c r="AV43" s="205"/>
      <c r="AW43" s="205"/>
      <c r="AX43" s="205"/>
      <c r="AY43" s="206"/>
    </row>
    <row r="44" spans="1:51">
      <c r="A44" s="202">
        <f t="shared" si="0"/>
        <v>33</v>
      </c>
      <c r="B44" s="204"/>
      <c r="C44" s="48"/>
      <c r="D44" s="42"/>
      <c r="E44" s="42"/>
      <c r="F44" s="42"/>
      <c r="G44" s="42"/>
      <c r="H44" s="42"/>
      <c r="I44" s="42"/>
      <c r="J44" s="42"/>
      <c r="K44" s="44"/>
      <c r="L44" s="48"/>
      <c r="M44" s="42"/>
      <c r="N44" s="42"/>
      <c r="O44" s="42"/>
      <c r="P44" s="42"/>
      <c r="Q44" s="42"/>
      <c r="R44" s="42"/>
      <c r="S44" s="44"/>
      <c r="T44" s="207"/>
      <c r="U44" s="208"/>
      <c r="V44" s="209"/>
      <c r="W44" s="220"/>
      <c r="X44" s="221"/>
      <c r="Y44" s="220"/>
      <c r="Z44" s="221"/>
      <c r="AA44" s="215"/>
      <c r="AB44" s="216"/>
      <c r="AC44" s="46"/>
      <c r="AD44" s="24"/>
      <c r="AE44" s="24"/>
      <c r="AF44" s="24"/>
      <c r="AG44" s="51"/>
      <c r="AH44" s="215"/>
      <c r="AI44" s="216"/>
      <c r="AJ44" s="212"/>
      <c r="AK44" s="213"/>
      <c r="AL44" s="215"/>
      <c r="AM44" s="217"/>
      <c r="AN44" s="216"/>
      <c r="AO44" s="205"/>
      <c r="AP44" s="205"/>
      <c r="AQ44" s="205"/>
      <c r="AR44" s="205"/>
      <c r="AS44" s="205"/>
      <c r="AT44" s="205"/>
      <c r="AU44" s="205"/>
      <c r="AV44" s="205"/>
      <c r="AW44" s="205"/>
      <c r="AX44" s="205"/>
      <c r="AY44" s="206"/>
    </row>
    <row r="45" spans="1:51">
      <c r="A45" s="202">
        <f t="shared" si="0"/>
        <v>34</v>
      </c>
      <c r="B45" s="204"/>
      <c r="C45" s="48"/>
      <c r="D45" s="42"/>
      <c r="E45" s="42"/>
      <c r="F45" s="42"/>
      <c r="G45" s="42"/>
      <c r="H45" s="42"/>
      <c r="I45" s="42"/>
      <c r="J45" s="42"/>
      <c r="K45" s="44"/>
      <c r="L45" s="48"/>
      <c r="M45" s="42"/>
      <c r="N45" s="42"/>
      <c r="O45" s="42"/>
      <c r="P45" s="42"/>
      <c r="Q45" s="42"/>
      <c r="R45" s="42"/>
      <c r="S45" s="44"/>
      <c r="T45" s="207"/>
      <c r="U45" s="208"/>
      <c r="V45" s="209"/>
      <c r="W45" s="220"/>
      <c r="X45" s="221"/>
      <c r="Y45" s="215"/>
      <c r="Z45" s="216"/>
      <c r="AA45" s="215"/>
      <c r="AB45" s="216"/>
      <c r="AC45" s="46"/>
      <c r="AD45" s="24"/>
      <c r="AE45" s="24"/>
      <c r="AF45" s="24"/>
      <c r="AG45" s="51"/>
      <c r="AH45" s="215"/>
      <c r="AI45" s="216"/>
      <c r="AJ45" s="212"/>
      <c r="AK45" s="213"/>
      <c r="AL45" s="215"/>
      <c r="AM45" s="217"/>
      <c r="AN45" s="216"/>
      <c r="AO45" s="205"/>
      <c r="AP45" s="205"/>
      <c r="AQ45" s="205"/>
      <c r="AR45" s="205"/>
      <c r="AS45" s="205"/>
      <c r="AT45" s="205"/>
      <c r="AU45" s="205"/>
      <c r="AV45" s="205"/>
      <c r="AW45" s="205"/>
      <c r="AX45" s="205"/>
      <c r="AY45" s="206"/>
    </row>
    <row r="46" spans="1:51">
      <c r="A46" s="210">
        <f t="shared" si="0"/>
        <v>35</v>
      </c>
      <c r="B46" s="211"/>
      <c r="C46" s="48"/>
      <c r="D46" s="42"/>
      <c r="E46" s="42"/>
      <c r="F46" s="42"/>
      <c r="G46" s="42"/>
      <c r="H46" s="42"/>
      <c r="I46" s="42"/>
      <c r="J46" s="42"/>
      <c r="K46" s="44"/>
      <c r="L46" s="48"/>
      <c r="M46" s="42"/>
      <c r="N46" s="42"/>
      <c r="O46" s="42"/>
      <c r="P46" s="42"/>
      <c r="Q46" s="42"/>
      <c r="R46" s="42"/>
      <c r="S46" s="44"/>
      <c r="T46" s="207"/>
      <c r="U46" s="208"/>
      <c r="V46" s="209"/>
      <c r="W46" s="220"/>
      <c r="X46" s="221"/>
      <c r="Y46" s="225"/>
      <c r="Z46" s="226"/>
      <c r="AA46" s="225"/>
      <c r="AB46" s="226"/>
      <c r="AC46" s="43"/>
      <c r="AD46" s="10"/>
      <c r="AE46" s="10"/>
      <c r="AF46" s="10"/>
      <c r="AG46" s="52"/>
      <c r="AH46" s="225"/>
      <c r="AI46" s="226"/>
      <c r="AJ46" s="227"/>
      <c r="AK46" s="228"/>
      <c r="AL46" s="225"/>
      <c r="AM46" s="229"/>
      <c r="AN46" s="226"/>
      <c r="AO46" s="230"/>
      <c r="AP46" s="230"/>
      <c r="AQ46" s="230"/>
      <c r="AR46" s="230"/>
      <c r="AS46" s="230"/>
      <c r="AT46" s="230"/>
      <c r="AU46" s="230"/>
      <c r="AV46" s="230"/>
      <c r="AW46" s="230"/>
      <c r="AX46" s="230"/>
      <c r="AY46" s="231"/>
    </row>
    <row r="47" spans="1:51">
      <c r="A47" s="210">
        <f t="shared" si="0"/>
        <v>36</v>
      </c>
      <c r="B47" s="211"/>
      <c r="C47" s="48"/>
      <c r="D47" s="42"/>
      <c r="E47" s="42"/>
      <c r="F47" s="42"/>
      <c r="G47" s="42"/>
      <c r="H47" s="42"/>
      <c r="I47" s="42"/>
      <c r="J47" s="42"/>
      <c r="K47" s="44"/>
      <c r="L47" s="48"/>
      <c r="M47" s="42"/>
      <c r="N47" s="42"/>
      <c r="O47" s="42"/>
      <c r="P47" s="42"/>
      <c r="Q47" s="42"/>
      <c r="R47" s="42"/>
      <c r="S47" s="44"/>
      <c r="T47" s="207"/>
      <c r="U47" s="208"/>
      <c r="V47" s="209"/>
      <c r="W47" s="220"/>
      <c r="X47" s="221"/>
      <c r="Y47" s="225"/>
      <c r="Z47" s="226"/>
      <c r="AA47" s="225"/>
      <c r="AB47" s="226"/>
      <c r="AC47" s="43"/>
      <c r="AD47" s="10"/>
      <c r="AE47" s="10"/>
      <c r="AF47" s="10"/>
      <c r="AG47" s="52"/>
      <c r="AH47" s="225"/>
      <c r="AI47" s="226"/>
      <c r="AJ47" s="227"/>
      <c r="AK47" s="228"/>
      <c r="AL47" s="225"/>
      <c r="AM47" s="229"/>
      <c r="AN47" s="226"/>
      <c r="AO47" s="230"/>
      <c r="AP47" s="230"/>
      <c r="AQ47" s="230"/>
      <c r="AR47" s="230"/>
      <c r="AS47" s="230"/>
      <c r="AT47" s="230"/>
      <c r="AU47" s="230"/>
      <c r="AV47" s="230"/>
      <c r="AW47" s="230"/>
      <c r="AX47" s="230"/>
      <c r="AY47" s="231"/>
    </row>
    <row r="48" spans="1:51">
      <c r="A48" s="210">
        <f t="shared" si="0"/>
        <v>37</v>
      </c>
      <c r="B48" s="211"/>
      <c r="C48" s="48"/>
      <c r="D48" s="42"/>
      <c r="E48" s="42"/>
      <c r="F48" s="42"/>
      <c r="G48" s="42"/>
      <c r="H48" s="42"/>
      <c r="I48" s="42"/>
      <c r="J48" s="42"/>
      <c r="K48" s="44"/>
      <c r="L48" s="48"/>
      <c r="M48" s="42"/>
      <c r="N48" s="42"/>
      <c r="O48" s="42"/>
      <c r="P48" s="42"/>
      <c r="Q48" s="42"/>
      <c r="R48" s="42"/>
      <c r="S48" s="44"/>
      <c r="T48" s="207"/>
      <c r="U48" s="208"/>
      <c r="V48" s="209"/>
      <c r="W48" s="220"/>
      <c r="X48" s="221"/>
      <c r="Y48" s="225"/>
      <c r="Z48" s="226"/>
      <c r="AA48" s="225"/>
      <c r="AB48" s="226"/>
      <c r="AC48" s="43"/>
      <c r="AD48" s="10"/>
      <c r="AE48" s="10"/>
      <c r="AF48" s="10"/>
      <c r="AG48" s="52"/>
      <c r="AH48" s="225"/>
      <c r="AI48" s="226"/>
      <c r="AJ48" s="227"/>
      <c r="AK48" s="228"/>
      <c r="AL48" s="225"/>
      <c r="AM48" s="229"/>
      <c r="AN48" s="226"/>
      <c r="AO48" s="230"/>
      <c r="AP48" s="230"/>
      <c r="AQ48" s="230"/>
      <c r="AR48" s="230"/>
      <c r="AS48" s="230"/>
      <c r="AT48" s="230"/>
      <c r="AU48" s="230"/>
      <c r="AV48" s="230"/>
      <c r="AW48" s="230"/>
      <c r="AX48" s="230"/>
      <c r="AY48" s="231"/>
    </row>
    <row r="49" spans="1:51">
      <c r="A49" s="210">
        <f t="shared" si="0"/>
        <v>38</v>
      </c>
      <c r="B49" s="211"/>
      <c r="C49" s="48"/>
      <c r="D49" s="42"/>
      <c r="E49" s="42"/>
      <c r="F49" s="42"/>
      <c r="G49" s="42"/>
      <c r="H49" s="42"/>
      <c r="I49" s="42"/>
      <c r="J49" s="42"/>
      <c r="K49" s="44"/>
      <c r="L49" s="48"/>
      <c r="M49" s="42"/>
      <c r="N49" s="42"/>
      <c r="O49" s="42"/>
      <c r="P49" s="42"/>
      <c r="Q49" s="42"/>
      <c r="R49" s="42"/>
      <c r="S49" s="44"/>
      <c r="T49" s="207"/>
      <c r="U49" s="208"/>
      <c r="V49" s="209"/>
      <c r="W49" s="220"/>
      <c r="X49" s="221"/>
      <c r="Y49" s="225"/>
      <c r="Z49" s="226"/>
      <c r="AA49" s="225"/>
      <c r="AB49" s="226"/>
      <c r="AC49" s="43"/>
      <c r="AD49" s="10"/>
      <c r="AE49" s="10"/>
      <c r="AF49" s="10"/>
      <c r="AG49" s="52"/>
      <c r="AH49" s="225"/>
      <c r="AI49" s="226"/>
      <c r="AJ49" s="227"/>
      <c r="AK49" s="228"/>
      <c r="AL49" s="225"/>
      <c r="AM49" s="229"/>
      <c r="AN49" s="226"/>
      <c r="AO49" s="230"/>
      <c r="AP49" s="230"/>
      <c r="AQ49" s="230"/>
      <c r="AR49" s="230"/>
      <c r="AS49" s="230"/>
      <c r="AT49" s="230"/>
      <c r="AU49" s="230"/>
      <c r="AV49" s="230"/>
      <c r="AW49" s="230"/>
      <c r="AX49" s="230"/>
      <c r="AY49" s="231"/>
    </row>
    <row r="50" spans="1:51">
      <c r="A50" s="210">
        <f t="shared" si="0"/>
        <v>39</v>
      </c>
      <c r="B50" s="211"/>
      <c r="C50" s="48"/>
      <c r="D50" s="42"/>
      <c r="E50" s="42"/>
      <c r="F50" s="42"/>
      <c r="G50" s="42"/>
      <c r="H50" s="42"/>
      <c r="I50" s="42"/>
      <c r="J50" s="42"/>
      <c r="K50" s="44"/>
      <c r="L50" s="48"/>
      <c r="M50" s="42"/>
      <c r="N50" s="42"/>
      <c r="O50" s="42"/>
      <c r="P50" s="42"/>
      <c r="Q50" s="42"/>
      <c r="R50" s="42"/>
      <c r="S50" s="44"/>
      <c r="T50" s="207"/>
      <c r="U50" s="208"/>
      <c r="V50" s="209"/>
      <c r="W50" s="220"/>
      <c r="X50" s="221"/>
      <c r="Y50" s="225"/>
      <c r="Z50" s="226"/>
      <c r="AA50" s="225"/>
      <c r="AB50" s="226"/>
      <c r="AC50" s="43"/>
      <c r="AD50" s="10"/>
      <c r="AE50" s="10"/>
      <c r="AF50" s="10"/>
      <c r="AG50" s="52"/>
      <c r="AH50" s="225"/>
      <c r="AI50" s="226"/>
      <c r="AJ50" s="227"/>
      <c r="AK50" s="228"/>
      <c r="AL50" s="225"/>
      <c r="AM50" s="229"/>
      <c r="AN50" s="226"/>
      <c r="AO50" s="230"/>
      <c r="AP50" s="230"/>
      <c r="AQ50" s="230"/>
      <c r="AR50" s="230"/>
      <c r="AS50" s="230"/>
      <c r="AT50" s="230"/>
      <c r="AU50" s="230"/>
      <c r="AV50" s="230"/>
      <c r="AW50" s="230"/>
      <c r="AX50" s="230"/>
      <c r="AY50" s="231"/>
    </row>
    <row r="51" spans="1:51">
      <c r="A51" s="210">
        <f t="shared" si="0"/>
        <v>40</v>
      </c>
      <c r="B51" s="211"/>
      <c r="C51" s="48"/>
      <c r="D51" s="42"/>
      <c r="E51" s="42"/>
      <c r="F51" s="42"/>
      <c r="G51" s="42"/>
      <c r="H51" s="42"/>
      <c r="I51" s="42"/>
      <c r="J51" s="42"/>
      <c r="K51" s="44"/>
      <c r="L51" s="48"/>
      <c r="M51" s="42"/>
      <c r="N51" s="42"/>
      <c r="O51" s="42"/>
      <c r="P51" s="42"/>
      <c r="Q51" s="42"/>
      <c r="R51" s="42"/>
      <c r="S51" s="44"/>
      <c r="T51" s="207"/>
      <c r="U51" s="208"/>
      <c r="V51" s="209"/>
      <c r="W51" s="220"/>
      <c r="X51" s="221"/>
      <c r="Y51" s="225"/>
      <c r="Z51" s="226"/>
      <c r="AA51" s="225"/>
      <c r="AB51" s="226"/>
      <c r="AC51" s="43"/>
      <c r="AD51" s="10"/>
      <c r="AE51" s="10"/>
      <c r="AF51" s="10"/>
      <c r="AG51" s="52"/>
      <c r="AH51" s="225"/>
      <c r="AI51" s="226"/>
      <c r="AJ51" s="227"/>
      <c r="AK51" s="228"/>
      <c r="AL51" s="225"/>
      <c r="AM51" s="229"/>
      <c r="AN51" s="226"/>
      <c r="AO51" s="230"/>
      <c r="AP51" s="230"/>
      <c r="AQ51" s="230"/>
      <c r="AR51" s="230"/>
      <c r="AS51" s="230"/>
      <c r="AT51" s="230"/>
      <c r="AU51" s="230"/>
      <c r="AV51" s="230"/>
      <c r="AW51" s="230"/>
      <c r="AX51" s="230"/>
      <c r="AY51" s="231"/>
    </row>
    <row r="52" spans="1:51">
      <c r="A52" s="210">
        <f t="shared" si="0"/>
        <v>41</v>
      </c>
      <c r="B52" s="211"/>
      <c r="C52" s="48"/>
      <c r="D52" s="42"/>
      <c r="E52" s="42"/>
      <c r="F52" s="42"/>
      <c r="G52" s="42"/>
      <c r="H52" s="42"/>
      <c r="I52" s="42"/>
      <c r="J52" s="42"/>
      <c r="K52" s="44"/>
      <c r="L52" s="48"/>
      <c r="M52" s="42"/>
      <c r="N52" s="42"/>
      <c r="O52" s="42"/>
      <c r="P52" s="42"/>
      <c r="Q52" s="42"/>
      <c r="R52" s="42"/>
      <c r="S52" s="44"/>
      <c r="T52" s="207"/>
      <c r="U52" s="208"/>
      <c r="V52" s="209"/>
      <c r="W52" s="225"/>
      <c r="X52" s="226"/>
      <c r="Y52" s="225"/>
      <c r="Z52" s="226"/>
      <c r="AA52" s="225"/>
      <c r="AB52" s="226"/>
      <c r="AC52" s="43"/>
      <c r="AD52" s="10"/>
      <c r="AE52" s="10"/>
      <c r="AF52" s="10"/>
      <c r="AG52" s="52"/>
      <c r="AH52" s="225"/>
      <c r="AI52" s="226"/>
      <c r="AJ52" s="227"/>
      <c r="AK52" s="228"/>
      <c r="AL52" s="225"/>
      <c r="AM52" s="229"/>
      <c r="AN52" s="226"/>
      <c r="AO52" s="230"/>
      <c r="AP52" s="230"/>
      <c r="AQ52" s="230"/>
      <c r="AR52" s="230"/>
      <c r="AS52" s="230"/>
      <c r="AT52" s="230"/>
      <c r="AU52" s="230"/>
      <c r="AV52" s="230"/>
      <c r="AW52" s="230"/>
      <c r="AX52" s="230"/>
      <c r="AY52" s="231"/>
    </row>
    <row r="53" spans="1:51">
      <c r="A53" s="210">
        <f t="shared" si="0"/>
        <v>42</v>
      </c>
      <c r="B53" s="211"/>
      <c r="C53" s="48"/>
      <c r="D53" s="42"/>
      <c r="E53" s="42"/>
      <c r="F53" s="42"/>
      <c r="G53" s="42"/>
      <c r="H53" s="42"/>
      <c r="I53" s="42"/>
      <c r="J53" s="42"/>
      <c r="K53" s="44"/>
      <c r="L53" s="48"/>
      <c r="M53" s="42"/>
      <c r="N53" s="42"/>
      <c r="O53" s="42"/>
      <c r="P53" s="42"/>
      <c r="Q53" s="42"/>
      <c r="R53" s="42"/>
      <c r="S53" s="44"/>
      <c r="T53" s="207"/>
      <c r="U53" s="208"/>
      <c r="V53" s="209"/>
      <c r="W53" s="225"/>
      <c r="X53" s="226"/>
      <c r="Y53" s="225"/>
      <c r="Z53" s="226"/>
      <c r="AA53" s="225"/>
      <c r="AB53" s="226"/>
      <c r="AC53" s="43"/>
      <c r="AD53" s="10"/>
      <c r="AE53" s="10"/>
      <c r="AF53" s="10"/>
      <c r="AG53" s="52"/>
      <c r="AH53" s="225"/>
      <c r="AI53" s="226"/>
      <c r="AJ53" s="227"/>
      <c r="AK53" s="228"/>
      <c r="AL53" s="225"/>
      <c r="AM53" s="229"/>
      <c r="AN53" s="226"/>
      <c r="AO53" s="230"/>
      <c r="AP53" s="230"/>
      <c r="AQ53" s="230"/>
      <c r="AR53" s="230"/>
      <c r="AS53" s="230"/>
      <c r="AT53" s="230"/>
      <c r="AU53" s="230"/>
      <c r="AV53" s="230"/>
      <c r="AW53" s="230"/>
      <c r="AX53" s="230"/>
      <c r="AY53" s="231"/>
    </row>
    <row r="54" spans="1:51">
      <c r="A54" s="210">
        <f t="shared" si="0"/>
        <v>43</v>
      </c>
      <c r="B54" s="211"/>
      <c r="C54" s="48"/>
      <c r="D54" s="42"/>
      <c r="E54" s="42"/>
      <c r="F54" s="42"/>
      <c r="G54" s="42"/>
      <c r="H54" s="42"/>
      <c r="I54" s="42"/>
      <c r="J54" s="42"/>
      <c r="K54" s="44"/>
      <c r="L54" s="48"/>
      <c r="M54" s="42"/>
      <c r="N54" s="42"/>
      <c r="O54" s="42"/>
      <c r="P54" s="42"/>
      <c r="Q54" s="42"/>
      <c r="R54" s="42"/>
      <c r="S54" s="44"/>
      <c r="T54" s="207"/>
      <c r="U54" s="208"/>
      <c r="V54" s="209"/>
      <c r="W54" s="225"/>
      <c r="X54" s="226"/>
      <c r="Y54" s="225"/>
      <c r="Z54" s="226"/>
      <c r="AA54" s="225"/>
      <c r="AB54" s="226"/>
      <c r="AC54" s="43"/>
      <c r="AD54" s="10"/>
      <c r="AE54" s="10"/>
      <c r="AF54" s="10"/>
      <c r="AG54" s="52"/>
      <c r="AH54" s="225"/>
      <c r="AI54" s="226"/>
      <c r="AJ54" s="227"/>
      <c r="AK54" s="228"/>
      <c r="AL54" s="225"/>
      <c r="AM54" s="229"/>
      <c r="AN54" s="226"/>
      <c r="AO54" s="230"/>
      <c r="AP54" s="230"/>
      <c r="AQ54" s="230"/>
      <c r="AR54" s="230"/>
      <c r="AS54" s="230"/>
      <c r="AT54" s="230"/>
      <c r="AU54" s="230"/>
      <c r="AV54" s="230"/>
      <c r="AW54" s="230"/>
      <c r="AX54" s="230"/>
      <c r="AY54" s="231"/>
    </row>
  </sheetData>
  <mergeCells count="455">
    <mergeCell ref="AJ54:AK54"/>
    <mergeCell ref="AL54:AN54"/>
    <mergeCell ref="AO54:AY54"/>
    <mergeCell ref="A54:B54"/>
    <mergeCell ref="T54:V54"/>
    <mergeCell ref="W54:X54"/>
    <mergeCell ref="Y54:Z54"/>
    <mergeCell ref="AA54:AB54"/>
    <mergeCell ref="AH54:AI54"/>
    <mergeCell ref="A53:B53"/>
    <mergeCell ref="T53:V53"/>
    <mergeCell ref="W53:X53"/>
    <mergeCell ref="Y53:Z53"/>
    <mergeCell ref="AA53:AB53"/>
    <mergeCell ref="AH53:AI53"/>
    <mergeCell ref="AJ53:AK53"/>
    <mergeCell ref="AL53:AN53"/>
    <mergeCell ref="AO53:AY53"/>
    <mergeCell ref="A52:B52"/>
    <mergeCell ref="T52:V52"/>
    <mergeCell ref="W52:X52"/>
    <mergeCell ref="Y52:Z52"/>
    <mergeCell ref="AA52:AB52"/>
    <mergeCell ref="AH52:AI52"/>
    <mergeCell ref="AJ52:AK52"/>
    <mergeCell ref="AL52:AN52"/>
    <mergeCell ref="AO52:AY52"/>
    <mergeCell ref="AJ50:AK50"/>
    <mergeCell ref="AL50:AN50"/>
    <mergeCell ref="AO50:AY50"/>
    <mergeCell ref="A51:B51"/>
    <mergeCell ref="T51:V51"/>
    <mergeCell ref="W51:X51"/>
    <mergeCell ref="Y51:Z51"/>
    <mergeCell ref="AA51:AB51"/>
    <mergeCell ref="AH51:AI51"/>
    <mergeCell ref="AJ51:AK51"/>
    <mergeCell ref="A50:B50"/>
    <mergeCell ref="T50:V50"/>
    <mergeCell ref="W50:X50"/>
    <mergeCell ref="Y50:Z50"/>
    <mergeCell ref="AA50:AB50"/>
    <mergeCell ref="AH50:AI50"/>
    <mergeCell ref="AL51:AN51"/>
    <mergeCell ref="AO51:AY51"/>
    <mergeCell ref="A49:B49"/>
    <mergeCell ref="T49:V49"/>
    <mergeCell ref="W49:X49"/>
    <mergeCell ref="Y49:Z49"/>
    <mergeCell ref="AA49:AB49"/>
    <mergeCell ref="AH49:AI49"/>
    <mergeCell ref="AJ49:AK49"/>
    <mergeCell ref="AL49:AN49"/>
    <mergeCell ref="AO49:AY49"/>
    <mergeCell ref="A48:B48"/>
    <mergeCell ref="T48:V48"/>
    <mergeCell ref="W48:X48"/>
    <mergeCell ref="Y48:Z48"/>
    <mergeCell ref="AA48:AB48"/>
    <mergeCell ref="AH48:AI48"/>
    <mergeCell ref="AJ48:AK48"/>
    <mergeCell ref="AL48:AN48"/>
    <mergeCell ref="AO48:AY48"/>
    <mergeCell ref="AJ46:AK46"/>
    <mergeCell ref="AL46:AN46"/>
    <mergeCell ref="AO46:AY46"/>
    <mergeCell ref="A47:B47"/>
    <mergeCell ref="T47:V47"/>
    <mergeCell ref="W47:X47"/>
    <mergeCell ref="Y47:Z47"/>
    <mergeCell ref="AA47:AB47"/>
    <mergeCell ref="AH47:AI47"/>
    <mergeCell ref="AJ47:AK47"/>
    <mergeCell ref="A46:B46"/>
    <mergeCell ref="T46:V46"/>
    <mergeCell ref="W46:X46"/>
    <mergeCell ref="Y46:Z46"/>
    <mergeCell ref="AA46:AB46"/>
    <mergeCell ref="AH46:AI46"/>
    <mergeCell ref="AL47:AN47"/>
    <mergeCell ref="AO47:AY47"/>
    <mergeCell ref="A45:B45"/>
    <mergeCell ref="T45:V45"/>
    <mergeCell ref="W45:X45"/>
    <mergeCell ref="Y45:Z45"/>
    <mergeCell ref="AA45:AB45"/>
    <mergeCell ref="AH45:AI45"/>
    <mergeCell ref="AJ45:AK45"/>
    <mergeCell ref="AL45:AN45"/>
    <mergeCell ref="AO45:AY45"/>
    <mergeCell ref="A44:B44"/>
    <mergeCell ref="T44:V44"/>
    <mergeCell ref="W44:X44"/>
    <mergeCell ref="Y44:Z44"/>
    <mergeCell ref="AA44:AB44"/>
    <mergeCell ref="AH44:AI44"/>
    <mergeCell ref="AJ44:AK44"/>
    <mergeCell ref="AL44:AN44"/>
    <mergeCell ref="AO44:AY44"/>
    <mergeCell ref="AJ42:AK42"/>
    <mergeCell ref="AL42:AN42"/>
    <mergeCell ref="AO42:AY42"/>
    <mergeCell ref="A43:B43"/>
    <mergeCell ref="T43:V43"/>
    <mergeCell ref="W43:X43"/>
    <mergeCell ref="Y43:Z43"/>
    <mergeCell ref="AA43:AB43"/>
    <mergeCell ref="AH43:AI43"/>
    <mergeCell ref="AJ43:AK43"/>
    <mergeCell ref="A42:B42"/>
    <mergeCell ref="T42:V42"/>
    <mergeCell ref="W42:X42"/>
    <mergeCell ref="Y42:Z42"/>
    <mergeCell ref="AA42:AB42"/>
    <mergeCell ref="AH42:AI42"/>
    <mergeCell ref="AL43:AN43"/>
    <mergeCell ref="AO43:AY43"/>
    <mergeCell ref="A41:B41"/>
    <mergeCell ref="T41:V41"/>
    <mergeCell ref="W41:X41"/>
    <mergeCell ref="Y41:Z41"/>
    <mergeCell ref="AA41:AB41"/>
    <mergeCell ref="AH41:AI41"/>
    <mergeCell ref="AJ41:AK41"/>
    <mergeCell ref="AL41:AN41"/>
    <mergeCell ref="AO41:AY41"/>
    <mergeCell ref="A40:B40"/>
    <mergeCell ref="T40:V40"/>
    <mergeCell ref="W40:X40"/>
    <mergeCell ref="Y40:Z40"/>
    <mergeCell ref="AA40:AB40"/>
    <mergeCell ref="AH40:AI40"/>
    <mergeCell ref="AJ40:AK40"/>
    <mergeCell ref="AL40:AN40"/>
    <mergeCell ref="AO40:AY40"/>
    <mergeCell ref="AJ38:AK38"/>
    <mergeCell ref="AL38:AN38"/>
    <mergeCell ref="AO38:AY38"/>
    <mergeCell ref="A39:B39"/>
    <mergeCell ref="T39:V39"/>
    <mergeCell ref="W39:X39"/>
    <mergeCell ref="Y39:Z39"/>
    <mergeCell ref="AA39:AB39"/>
    <mergeCell ref="AH39:AI39"/>
    <mergeCell ref="AJ39:AK39"/>
    <mergeCell ref="A38:B38"/>
    <mergeCell ref="T38:V38"/>
    <mergeCell ref="W38:X38"/>
    <mergeCell ref="Y38:Z38"/>
    <mergeCell ref="AA38:AB38"/>
    <mergeCell ref="AH38:AI38"/>
    <mergeCell ref="AL39:AN39"/>
    <mergeCell ref="AO39:AY39"/>
    <mergeCell ref="A37:B37"/>
    <mergeCell ref="T37:V37"/>
    <mergeCell ref="W37:X37"/>
    <mergeCell ref="Y37:Z37"/>
    <mergeCell ref="AA37:AB37"/>
    <mergeCell ref="AH37:AI37"/>
    <mergeCell ref="AJ37:AK37"/>
    <mergeCell ref="AL37:AN37"/>
    <mergeCell ref="AO37:AY37"/>
    <mergeCell ref="A36:B36"/>
    <mergeCell ref="T36:V36"/>
    <mergeCell ref="W36:X36"/>
    <mergeCell ref="Y36:Z36"/>
    <mergeCell ref="AA36:AB36"/>
    <mergeCell ref="AH36:AI36"/>
    <mergeCell ref="AJ36:AK36"/>
    <mergeCell ref="AL36:AN36"/>
    <mergeCell ref="AO36:AY36"/>
    <mergeCell ref="AJ34:AK34"/>
    <mergeCell ref="AL34:AN34"/>
    <mergeCell ref="AO34:AY34"/>
    <mergeCell ref="A35:B35"/>
    <mergeCell ref="T35:V35"/>
    <mergeCell ref="W35:X35"/>
    <mergeCell ref="Y35:Z35"/>
    <mergeCell ref="AA35:AB35"/>
    <mergeCell ref="AH35:AI35"/>
    <mergeCell ref="AJ35:AK35"/>
    <mergeCell ref="A34:B34"/>
    <mergeCell ref="T34:V34"/>
    <mergeCell ref="W34:X34"/>
    <mergeCell ref="Y34:Z34"/>
    <mergeCell ref="AA34:AB34"/>
    <mergeCell ref="AH34:AI34"/>
    <mergeCell ref="AL35:AN35"/>
    <mergeCell ref="AO35:AY35"/>
    <mergeCell ref="A33:B33"/>
    <mergeCell ref="T33:V33"/>
    <mergeCell ref="W33:X33"/>
    <mergeCell ref="Y33:Z33"/>
    <mergeCell ref="AA33:AB33"/>
    <mergeCell ref="AH33:AI33"/>
    <mergeCell ref="AJ33:AK33"/>
    <mergeCell ref="AL33:AN33"/>
    <mergeCell ref="AO33:AY33"/>
    <mergeCell ref="A32:B32"/>
    <mergeCell ref="T32:V32"/>
    <mergeCell ref="W32:X32"/>
    <mergeCell ref="Y32:Z32"/>
    <mergeCell ref="AA32:AB32"/>
    <mergeCell ref="AH32:AI32"/>
    <mergeCell ref="AJ32:AK32"/>
    <mergeCell ref="AL32:AN32"/>
    <mergeCell ref="AO32:AY32"/>
    <mergeCell ref="AJ30:AK30"/>
    <mergeCell ref="AL30:AN30"/>
    <mergeCell ref="AO30:AY30"/>
    <mergeCell ref="A31:B31"/>
    <mergeCell ref="T31:V31"/>
    <mergeCell ref="W31:X31"/>
    <mergeCell ref="Y31:Z31"/>
    <mergeCell ref="AA31:AB31"/>
    <mergeCell ref="AH31:AI31"/>
    <mergeCell ref="AJ31:AK31"/>
    <mergeCell ref="A30:B30"/>
    <mergeCell ref="T30:V30"/>
    <mergeCell ref="W30:X30"/>
    <mergeCell ref="Y30:Z30"/>
    <mergeCell ref="AA30:AB30"/>
    <mergeCell ref="AH30:AI30"/>
    <mergeCell ref="AL31:AN31"/>
    <mergeCell ref="AO31:AY31"/>
    <mergeCell ref="A29:B29"/>
    <mergeCell ref="T29:V29"/>
    <mergeCell ref="W29:X29"/>
    <mergeCell ref="Y29:Z29"/>
    <mergeCell ref="AA29:AB29"/>
    <mergeCell ref="AH29:AI29"/>
    <mergeCell ref="AJ29:AK29"/>
    <mergeCell ref="AL29:AN29"/>
    <mergeCell ref="AO29:AY29"/>
    <mergeCell ref="A28:B28"/>
    <mergeCell ref="T28:V28"/>
    <mergeCell ref="W28:X28"/>
    <mergeCell ref="Y28:Z28"/>
    <mergeCell ref="AA28:AB28"/>
    <mergeCell ref="AH28:AI28"/>
    <mergeCell ref="AJ28:AK28"/>
    <mergeCell ref="AL28:AN28"/>
    <mergeCell ref="AO28:AY28"/>
    <mergeCell ref="AJ26:AK26"/>
    <mergeCell ref="AL26:AN26"/>
    <mergeCell ref="AO26:AY26"/>
    <mergeCell ref="A27:B27"/>
    <mergeCell ref="T27:V27"/>
    <mergeCell ref="W27:X27"/>
    <mergeCell ref="Y27:Z27"/>
    <mergeCell ref="AA27:AB27"/>
    <mergeCell ref="AH27:AI27"/>
    <mergeCell ref="AJ27:AK27"/>
    <mergeCell ref="A26:B26"/>
    <mergeCell ref="T26:V26"/>
    <mergeCell ref="W26:X26"/>
    <mergeCell ref="Y26:Z26"/>
    <mergeCell ref="AA26:AB26"/>
    <mergeCell ref="AH26:AI26"/>
    <mergeCell ref="AL27:AN27"/>
    <mergeCell ref="AO27:AY27"/>
    <mergeCell ref="A25:B25"/>
    <mergeCell ref="T25:V25"/>
    <mergeCell ref="W25:X25"/>
    <mergeCell ref="Y25:Z25"/>
    <mergeCell ref="AA25:AB25"/>
    <mergeCell ref="AH25:AI25"/>
    <mergeCell ref="AJ25:AK25"/>
    <mergeCell ref="AL25:AN25"/>
    <mergeCell ref="AO25:AY25"/>
    <mergeCell ref="A24:B24"/>
    <mergeCell ref="T24:V24"/>
    <mergeCell ref="W24:X24"/>
    <mergeCell ref="Y24:Z24"/>
    <mergeCell ref="AA24:AB24"/>
    <mergeCell ref="AH24:AI24"/>
    <mergeCell ref="AJ24:AK24"/>
    <mergeCell ref="AL24:AN24"/>
    <mergeCell ref="AO24:AY24"/>
    <mergeCell ref="AJ22:AK22"/>
    <mergeCell ref="AL22:AN22"/>
    <mergeCell ref="AO22:AY22"/>
    <mergeCell ref="A23:B23"/>
    <mergeCell ref="T23:V23"/>
    <mergeCell ref="W23:X23"/>
    <mergeCell ref="Y23:Z23"/>
    <mergeCell ref="AA23:AB23"/>
    <mergeCell ref="AH23:AI23"/>
    <mergeCell ref="AJ23:AK23"/>
    <mergeCell ref="A22:B22"/>
    <mergeCell ref="T22:V22"/>
    <mergeCell ref="W22:X22"/>
    <mergeCell ref="Y22:Z22"/>
    <mergeCell ref="AA22:AB22"/>
    <mergeCell ref="AH22:AI22"/>
    <mergeCell ref="AL23:AN23"/>
    <mergeCell ref="AO23:AY23"/>
    <mergeCell ref="AA21:AB21"/>
    <mergeCell ref="AH21:AI21"/>
    <mergeCell ref="AJ21:AK21"/>
    <mergeCell ref="AL21:AN21"/>
    <mergeCell ref="AO21:AY21"/>
    <mergeCell ref="AA20:AB20"/>
    <mergeCell ref="AH20:AI20"/>
    <mergeCell ref="AJ20:AK20"/>
    <mergeCell ref="AL20:AN20"/>
    <mergeCell ref="AO20:AY20"/>
    <mergeCell ref="A21:B21"/>
    <mergeCell ref="L21:S21"/>
    <mergeCell ref="T21:V21"/>
    <mergeCell ref="W21:X21"/>
    <mergeCell ref="A20:B20"/>
    <mergeCell ref="L20:S20"/>
    <mergeCell ref="T20:V20"/>
    <mergeCell ref="W20:X20"/>
    <mergeCell ref="Y19:Z19"/>
    <mergeCell ref="Y21:Z21"/>
    <mergeCell ref="Y20:Z20"/>
    <mergeCell ref="AA19:AB19"/>
    <mergeCell ref="AH19:AI19"/>
    <mergeCell ref="AJ19:AK19"/>
    <mergeCell ref="AL19:AN19"/>
    <mergeCell ref="AO19:AY19"/>
    <mergeCell ref="AA18:AB18"/>
    <mergeCell ref="AH18:AI18"/>
    <mergeCell ref="AJ18:AK18"/>
    <mergeCell ref="AL18:AN18"/>
    <mergeCell ref="AO18:AY18"/>
    <mergeCell ref="Y18:Z18"/>
    <mergeCell ref="A19:B19"/>
    <mergeCell ref="L19:S19"/>
    <mergeCell ref="T19:V19"/>
    <mergeCell ref="W19:X19"/>
    <mergeCell ref="A18:B18"/>
    <mergeCell ref="L18:S18"/>
    <mergeCell ref="T18:V18"/>
    <mergeCell ref="W18:X18"/>
    <mergeCell ref="AA17:AB17"/>
    <mergeCell ref="AH17:AI17"/>
    <mergeCell ref="AJ17:AK17"/>
    <mergeCell ref="AL17:AN17"/>
    <mergeCell ref="AO17:AY17"/>
    <mergeCell ref="AA16:AB16"/>
    <mergeCell ref="AH16:AI16"/>
    <mergeCell ref="AJ16:AK16"/>
    <mergeCell ref="AL16:AN16"/>
    <mergeCell ref="AO16:AY16"/>
    <mergeCell ref="A17:B17"/>
    <mergeCell ref="L17:S17"/>
    <mergeCell ref="T17:V17"/>
    <mergeCell ref="W17:X17"/>
    <mergeCell ref="A16:B16"/>
    <mergeCell ref="L16:S16"/>
    <mergeCell ref="T16:V16"/>
    <mergeCell ref="W16:X16"/>
    <mergeCell ref="Y15:Z15"/>
    <mergeCell ref="Y17:Z17"/>
    <mergeCell ref="Y16:Z16"/>
    <mergeCell ref="AA15:AB15"/>
    <mergeCell ref="AH15:AI15"/>
    <mergeCell ref="AJ15:AK15"/>
    <mergeCell ref="AL15:AN15"/>
    <mergeCell ref="AO15:AY15"/>
    <mergeCell ref="AA14:AB14"/>
    <mergeCell ref="AH14:AI14"/>
    <mergeCell ref="AJ14:AK14"/>
    <mergeCell ref="AL14:AN14"/>
    <mergeCell ref="AO14:AY14"/>
    <mergeCell ref="Y14:Z14"/>
    <mergeCell ref="A15:B15"/>
    <mergeCell ref="L15:S15"/>
    <mergeCell ref="T15:V15"/>
    <mergeCell ref="W15:X15"/>
    <mergeCell ref="A14:B14"/>
    <mergeCell ref="L14:S14"/>
    <mergeCell ref="T14:V14"/>
    <mergeCell ref="W14:X14"/>
    <mergeCell ref="AH13:AI13"/>
    <mergeCell ref="AJ13:AK13"/>
    <mergeCell ref="AL13:AN13"/>
    <mergeCell ref="AO13:AY13"/>
    <mergeCell ref="AA12:AB12"/>
    <mergeCell ref="AH12:AI12"/>
    <mergeCell ref="AJ12:AK12"/>
    <mergeCell ref="AL12:AN12"/>
    <mergeCell ref="AO12:AY12"/>
    <mergeCell ref="A13:B13"/>
    <mergeCell ref="L13:S13"/>
    <mergeCell ref="T13:V13"/>
    <mergeCell ref="W13:X13"/>
    <mergeCell ref="A12:B12"/>
    <mergeCell ref="L12:S12"/>
    <mergeCell ref="T12:V12"/>
    <mergeCell ref="W12:X12"/>
    <mergeCell ref="AA10:AB10"/>
    <mergeCell ref="Y13:Z13"/>
    <mergeCell ref="AA13:AB13"/>
    <mergeCell ref="Y12:Z12"/>
    <mergeCell ref="AC10:AG10"/>
    <mergeCell ref="AH10:AI10"/>
    <mergeCell ref="AJ10:AK11"/>
    <mergeCell ref="AL10:AN11"/>
    <mergeCell ref="AO10:AY11"/>
    <mergeCell ref="AA11:AB11"/>
    <mergeCell ref="AH11:AI11"/>
    <mergeCell ref="A10:B11"/>
    <mergeCell ref="C10:K11"/>
    <mergeCell ref="L10:S11"/>
    <mergeCell ref="T10:V11"/>
    <mergeCell ref="W10:X11"/>
    <mergeCell ref="Y10:Z11"/>
    <mergeCell ref="A6:F8"/>
    <mergeCell ref="G6:K6"/>
    <mergeCell ref="L6:AB6"/>
    <mergeCell ref="AC6:AG6"/>
    <mergeCell ref="AH6:AY6"/>
    <mergeCell ref="AX2:AY5"/>
    <mergeCell ref="G3:K3"/>
    <mergeCell ref="AI3:AK3"/>
    <mergeCell ref="AL3:AN3"/>
    <mergeCell ref="AO3:AS3"/>
    <mergeCell ref="AT3:AW3"/>
    <mergeCell ref="G4:K4"/>
    <mergeCell ref="AI4:AK5"/>
    <mergeCell ref="AL4:AN4"/>
    <mergeCell ref="AO4:AS4"/>
    <mergeCell ref="A1:F5"/>
    <mergeCell ref="G7:K7"/>
    <mergeCell ref="L7:AB7"/>
    <mergeCell ref="AC7:AG7"/>
    <mergeCell ref="AH7:AY7"/>
    <mergeCell ref="G8:K8"/>
    <mergeCell ref="L8:AB8"/>
    <mergeCell ref="AC8:AG8"/>
    <mergeCell ref="AH8:AY8"/>
    <mergeCell ref="AO1:AS1"/>
    <mergeCell ref="AT1:AW1"/>
    <mergeCell ref="AX1:AY1"/>
    <mergeCell ref="G2:K2"/>
    <mergeCell ref="AC2:AE5"/>
    <mergeCell ref="AF2:AH5"/>
    <mergeCell ref="AI2:AK2"/>
    <mergeCell ref="AL2:AN2"/>
    <mergeCell ref="AO2:AS2"/>
    <mergeCell ref="AT2:AW2"/>
    <mergeCell ref="G1:K1"/>
    <mergeCell ref="AC1:AE1"/>
    <mergeCell ref="AF1:AH1"/>
    <mergeCell ref="AI1:AK1"/>
    <mergeCell ref="AL1:AN1"/>
    <mergeCell ref="AT4:AW4"/>
    <mergeCell ref="G5:K5"/>
    <mergeCell ref="AL5:AN5"/>
    <mergeCell ref="AO5:AS5"/>
    <mergeCell ref="AT5:AW5"/>
  </mergeCells>
  <phoneticPr fontId="23"/>
  <dataValidations disablePrompts="1" count="1">
    <dataValidation type="list" allowBlank="1" showInputMessage="1" showErrorMessage="1" sqref="T54:V54 T50:T53 T12:V49" xr:uid="{716CF294-FB2D-4C3E-84F4-CC928FA11B81}">
      <formula1>型候補</formula1>
    </dataValidation>
  </dataValidations>
  <hyperlinks>
    <hyperlink ref="A1:F5" location="テーブル一覧!A1" display="テーブル一覧!A1" xr:uid="{777C4092-586C-46DE-9BFF-6072F3BB24F6}"/>
  </hyperlinks>
  <pageMargins left="0.70866141732283472" right="0.70866141732283472" top="0.74803149606299213" bottom="0.74803149606299213" header="0.31496062992125984" footer="0.31496062992125984"/>
  <pageSetup paperSize="9" scale="83" fitToHeight="0" orientation="landscape" horizontalDpi="4294967294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608A20-F77B-41E8-A614-CACE0716241D}">
  <sheetPr codeName="Sheet43">
    <pageSetUpPr fitToPage="1"/>
  </sheetPr>
  <dimension ref="A1:AY54"/>
  <sheetViews>
    <sheetView view="pageBreakPreview" topLeftCell="A2" zoomScaleNormal="100" zoomScaleSheetLayoutView="100" workbookViewId="0">
      <selection activeCell="D12" sqref="D12"/>
    </sheetView>
  </sheetViews>
  <sheetFormatPr defaultColWidth="3.83203125" defaultRowHeight="12"/>
  <cols>
    <col min="1" max="1" width="3.83203125" style="7" customWidth="1"/>
    <col min="2" max="3" width="3.83203125" style="8"/>
    <col min="4" max="49" width="3.83203125" style="7"/>
    <col min="50" max="50" width="4" style="7" customWidth="1"/>
    <col min="51" max="16384" width="3.83203125" style="7"/>
  </cols>
  <sheetData>
    <row r="1" spans="1:51" s="2" customFormat="1">
      <c r="A1" s="162" t="str">
        <f>L5</f>
        <v>テーブル定義書</v>
      </c>
      <c r="B1" s="163"/>
      <c r="C1" s="163"/>
      <c r="D1" s="163"/>
      <c r="E1" s="163"/>
      <c r="F1" s="164"/>
      <c r="G1" s="123" t="s">
        <v>59</v>
      </c>
      <c r="H1" s="113"/>
      <c r="I1" s="113"/>
      <c r="J1" s="113"/>
      <c r="K1" s="113"/>
      <c r="L1" s="1">
        <f>表紙!B8</f>
        <v>0</v>
      </c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24"/>
      <c r="AD1" s="124"/>
      <c r="AE1" s="124"/>
      <c r="AF1" s="124"/>
      <c r="AG1" s="124"/>
      <c r="AH1" s="124"/>
      <c r="AI1" s="113" t="s">
        <v>60</v>
      </c>
      <c r="AJ1" s="113"/>
      <c r="AK1" s="113"/>
      <c r="AL1" s="113" t="s">
        <v>61</v>
      </c>
      <c r="AM1" s="113"/>
      <c r="AN1" s="113"/>
      <c r="AO1" s="113" t="s">
        <v>62</v>
      </c>
      <c r="AP1" s="113"/>
      <c r="AQ1" s="113"/>
      <c r="AR1" s="113"/>
      <c r="AS1" s="113"/>
      <c r="AT1" s="113" t="s">
        <v>55</v>
      </c>
      <c r="AU1" s="113"/>
      <c r="AV1" s="113"/>
      <c r="AW1" s="113"/>
      <c r="AX1" s="113" t="s">
        <v>63</v>
      </c>
      <c r="AY1" s="114"/>
    </row>
    <row r="2" spans="1:51" s="2" customFormat="1">
      <c r="A2" s="165"/>
      <c r="B2" s="166"/>
      <c r="C2" s="166"/>
      <c r="D2" s="166"/>
      <c r="E2" s="166"/>
      <c r="F2" s="167"/>
      <c r="G2" s="115" t="s">
        <v>64</v>
      </c>
      <c r="H2" s="116"/>
      <c r="I2" s="116"/>
      <c r="J2" s="116"/>
      <c r="K2" s="116"/>
      <c r="L2" s="3">
        <f>表紙!M8</f>
        <v>0</v>
      </c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117"/>
      <c r="AD2" s="117"/>
      <c r="AE2" s="117"/>
      <c r="AF2" s="117"/>
      <c r="AG2" s="117"/>
      <c r="AH2" s="117"/>
      <c r="AI2" s="119" t="s">
        <v>65</v>
      </c>
      <c r="AJ2" s="119"/>
      <c r="AK2" s="119"/>
      <c r="AL2" s="120" t="s">
        <v>73</v>
      </c>
      <c r="AM2" s="120"/>
      <c r="AN2" s="120"/>
      <c r="AO2" s="121"/>
      <c r="AP2" s="121"/>
      <c r="AQ2" s="122"/>
      <c r="AR2" s="122"/>
      <c r="AS2" s="122"/>
      <c r="AT2" s="122"/>
      <c r="AU2" s="122"/>
      <c r="AV2" s="122"/>
      <c r="AW2" s="122"/>
      <c r="AX2" s="150" t="s">
        <v>74</v>
      </c>
      <c r="AY2" s="151"/>
    </row>
    <row r="3" spans="1:51" s="2" customFormat="1">
      <c r="A3" s="165"/>
      <c r="B3" s="166"/>
      <c r="C3" s="166"/>
      <c r="D3" s="166"/>
      <c r="E3" s="166"/>
      <c r="F3" s="167"/>
      <c r="G3" s="154" t="s">
        <v>66</v>
      </c>
      <c r="H3" s="119"/>
      <c r="I3" s="119"/>
      <c r="J3" s="119"/>
      <c r="K3" s="119"/>
      <c r="L3" s="4" t="s">
        <v>76</v>
      </c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117"/>
      <c r="AD3" s="117"/>
      <c r="AE3" s="117"/>
      <c r="AF3" s="117"/>
      <c r="AG3" s="117"/>
      <c r="AH3" s="117"/>
      <c r="AI3" s="155" t="s">
        <v>67</v>
      </c>
      <c r="AJ3" s="155"/>
      <c r="AK3" s="155"/>
      <c r="AL3" s="156"/>
      <c r="AM3" s="156"/>
      <c r="AN3" s="156"/>
      <c r="AO3" s="157" t="str">
        <f>IF( $AL3 &lt;&gt; "", VLOOKUP( $AL3, 表紙!$B$15:$AE$47, 5, FALSE ), "" )</f>
        <v/>
      </c>
      <c r="AP3" s="157"/>
      <c r="AQ3" s="158"/>
      <c r="AR3" s="158"/>
      <c r="AS3" s="158"/>
      <c r="AT3" s="158" t="str">
        <f>IF( $AL3 &lt;&gt; "", VLOOKUP( $AL3, 表紙!$B$15:$AE$47, 28, FALSE ), "" )</f>
        <v/>
      </c>
      <c r="AU3" s="158"/>
      <c r="AV3" s="158"/>
      <c r="AW3" s="158"/>
      <c r="AX3" s="150"/>
      <c r="AY3" s="151"/>
    </row>
    <row r="4" spans="1:51" s="2" customFormat="1">
      <c r="A4" s="165"/>
      <c r="B4" s="166"/>
      <c r="C4" s="166"/>
      <c r="D4" s="166"/>
      <c r="E4" s="166"/>
      <c r="F4" s="167"/>
      <c r="G4" s="159" t="s">
        <v>75</v>
      </c>
      <c r="H4" s="155"/>
      <c r="I4" s="155"/>
      <c r="J4" s="155"/>
      <c r="K4" s="15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117"/>
      <c r="AD4" s="117"/>
      <c r="AE4" s="117"/>
      <c r="AF4" s="117"/>
      <c r="AG4" s="117"/>
      <c r="AH4" s="117"/>
      <c r="AI4" s="155" t="s">
        <v>68</v>
      </c>
      <c r="AJ4" s="155"/>
      <c r="AK4" s="155"/>
      <c r="AL4" s="156"/>
      <c r="AM4" s="156"/>
      <c r="AN4" s="156"/>
      <c r="AO4" s="160"/>
      <c r="AP4" s="160"/>
      <c r="AQ4" s="161"/>
      <c r="AR4" s="161"/>
      <c r="AS4" s="161"/>
      <c r="AT4" s="125"/>
      <c r="AU4" s="125"/>
      <c r="AV4" s="125"/>
      <c r="AW4" s="125"/>
      <c r="AX4" s="150"/>
      <c r="AY4" s="151"/>
    </row>
    <row r="5" spans="1:51" s="2" customFormat="1" ht="12.75" thickBot="1">
      <c r="A5" s="168"/>
      <c r="B5" s="169"/>
      <c r="C5" s="169"/>
      <c r="D5" s="169"/>
      <c r="E5" s="169"/>
      <c r="F5" s="170"/>
      <c r="G5" s="126" t="s">
        <v>0</v>
      </c>
      <c r="H5" s="127"/>
      <c r="I5" s="127"/>
      <c r="J5" s="127"/>
      <c r="K5" s="127"/>
      <c r="L5" s="6" t="s">
        <v>87</v>
      </c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118"/>
      <c r="AD5" s="118"/>
      <c r="AE5" s="118"/>
      <c r="AF5" s="118"/>
      <c r="AG5" s="118"/>
      <c r="AH5" s="118"/>
      <c r="AI5" s="127"/>
      <c r="AJ5" s="127"/>
      <c r="AK5" s="127"/>
      <c r="AL5" s="128"/>
      <c r="AM5" s="128"/>
      <c r="AN5" s="128"/>
      <c r="AO5" s="129"/>
      <c r="AP5" s="129"/>
      <c r="AQ5" s="130"/>
      <c r="AR5" s="130"/>
      <c r="AS5" s="130"/>
      <c r="AT5" s="131"/>
      <c r="AU5" s="131"/>
      <c r="AV5" s="131"/>
      <c r="AW5" s="131"/>
      <c r="AX5" s="152"/>
      <c r="AY5" s="153"/>
    </row>
    <row r="6" spans="1:51" s="2" customFormat="1">
      <c r="A6" s="132" t="s">
        <v>1</v>
      </c>
      <c r="B6" s="133"/>
      <c r="C6" s="133"/>
      <c r="D6" s="133"/>
      <c r="E6" s="133"/>
      <c r="F6" s="134"/>
      <c r="G6" s="141" t="s">
        <v>10</v>
      </c>
      <c r="H6" s="142"/>
      <c r="I6" s="142"/>
      <c r="J6" s="142"/>
      <c r="K6" s="142"/>
      <c r="L6" s="143"/>
      <c r="M6" s="144"/>
      <c r="N6" s="144"/>
      <c r="O6" s="144"/>
      <c r="P6" s="144"/>
      <c r="Q6" s="144"/>
      <c r="R6" s="144"/>
      <c r="S6" s="144"/>
      <c r="T6" s="144"/>
      <c r="U6" s="144"/>
      <c r="V6" s="144"/>
      <c r="W6" s="144"/>
      <c r="X6" s="144"/>
      <c r="Y6" s="144"/>
      <c r="Z6" s="144"/>
      <c r="AA6" s="144"/>
      <c r="AB6" s="145"/>
      <c r="AC6" s="146" t="s">
        <v>14</v>
      </c>
      <c r="AD6" s="142"/>
      <c r="AE6" s="142"/>
      <c r="AF6" s="142"/>
      <c r="AG6" s="142"/>
      <c r="AH6" s="147" t="s">
        <v>79</v>
      </c>
      <c r="AI6" s="148"/>
      <c r="AJ6" s="148"/>
      <c r="AK6" s="148"/>
      <c r="AL6" s="148"/>
      <c r="AM6" s="148"/>
      <c r="AN6" s="148"/>
      <c r="AO6" s="148"/>
      <c r="AP6" s="148"/>
      <c r="AQ6" s="148"/>
      <c r="AR6" s="148"/>
      <c r="AS6" s="148"/>
      <c r="AT6" s="148"/>
      <c r="AU6" s="148"/>
      <c r="AV6" s="148"/>
      <c r="AW6" s="148"/>
      <c r="AX6" s="148"/>
      <c r="AY6" s="149"/>
    </row>
    <row r="7" spans="1:51" s="2" customFormat="1">
      <c r="A7" s="135"/>
      <c r="B7" s="136"/>
      <c r="C7" s="136"/>
      <c r="D7" s="136"/>
      <c r="E7" s="136"/>
      <c r="F7" s="137"/>
      <c r="G7" s="171" t="s">
        <v>11</v>
      </c>
      <c r="H7" s="155"/>
      <c r="I7" s="155"/>
      <c r="J7" s="155"/>
      <c r="K7" s="155"/>
      <c r="L7" s="172" t="s">
        <v>143</v>
      </c>
      <c r="M7" s="173"/>
      <c r="N7" s="173"/>
      <c r="O7" s="173"/>
      <c r="P7" s="173"/>
      <c r="Q7" s="173"/>
      <c r="R7" s="173"/>
      <c r="S7" s="173"/>
      <c r="T7" s="173"/>
      <c r="U7" s="173"/>
      <c r="V7" s="173"/>
      <c r="W7" s="173"/>
      <c r="X7" s="173"/>
      <c r="Y7" s="173"/>
      <c r="Z7" s="173"/>
      <c r="AA7" s="173"/>
      <c r="AB7" s="174"/>
      <c r="AC7" s="159" t="s">
        <v>13</v>
      </c>
      <c r="AD7" s="155"/>
      <c r="AE7" s="155"/>
      <c r="AF7" s="155"/>
      <c r="AG7" s="155"/>
      <c r="AH7" s="172" t="s">
        <v>143</v>
      </c>
      <c r="AI7" s="173"/>
      <c r="AJ7" s="173"/>
      <c r="AK7" s="173"/>
      <c r="AL7" s="173"/>
      <c r="AM7" s="173"/>
      <c r="AN7" s="173"/>
      <c r="AO7" s="173"/>
      <c r="AP7" s="173"/>
      <c r="AQ7" s="173"/>
      <c r="AR7" s="173"/>
      <c r="AS7" s="173"/>
      <c r="AT7" s="173"/>
      <c r="AU7" s="173"/>
      <c r="AV7" s="173"/>
      <c r="AW7" s="173"/>
      <c r="AX7" s="173"/>
      <c r="AY7" s="174"/>
    </row>
    <row r="8" spans="1:51" s="2" customFormat="1" ht="12.75" thickBot="1">
      <c r="A8" s="138"/>
      <c r="B8" s="139"/>
      <c r="C8" s="139"/>
      <c r="D8" s="139"/>
      <c r="E8" s="139"/>
      <c r="F8" s="140"/>
      <c r="G8" s="175" t="s">
        <v>12</v>
      </c>
      <c r="H8" s="176"/>
      <c r="I8" s="176"/>
      <c r="J8" s="176"/>
      <c r="K8" s="176"/>
      <c r="L8" s="177" t="s">
        <v>189</v>
      </c>
      <c r="M8" s="178"/>
      <c r="N8" s="178"/>
      <c r="O8" s="178"/>
      <c r="P8" s="178"/>
      <c r="Q8" s="178"/>
      <c r="R8" s="178"/>
      <c r="S8" s="178"/>
      <c r="T8" s="178"/>
      <c r="U8" s="178"/>
      <c r="V8" s="178"/>
      <c r="W8" s="178"/>
      <c r="X8" s="178"/>
      <c r="Y8" s="178"/>
      <c r="Z8" s="178"/>
      <c r="AA8" s="178"/>
      <c r="AB8" s="179"/>
      <c r="AC8" s="180" t="s">
        <v>33</v>
      </c>
      <c r="AD8" s="176"/>
      <c r="AE8" s="176"/>
      <c r="AF8" s="176"/>
      <c r="AG8" s="176"/>
      <c r="AH8" s="177" t="str">
        <f ca="1">RIGHT(CELL("filename",A1),LEN(CELL("filename",A1))-FIND("]",CELL("filename",A1)))</f>
        <v>m_商品</v>
      </c>
      <c r="AI8" s="178"/>
      <c r="AJ8" s="178"/>
      <c r="AK8" s="178"/>
      <c r="AL8" s="178"/>
      <c r="AM8" s="178"/>
      <c r="AN8" s="178"/>
      <c r="AO8" s="178"/>
      <c r="AP8" s="178"/>
      <c r="AQ8" s="178"/>
      <c r="AR8" s="178"/>
      <c r="AS8" s="178"/>
      <c r="AT8" s="178"/>
      <c r="AU8" s="178"/>
      <c r="AV8" s="178"/>
      <c r="AW8" s="178"/>
      <c r="AX8" s="178"/>
      <c r="AY8" s="179"/>
    </row>
    <row r="10" spans="1:51">
      <c r="A10" s="181" t="s">
        <v>15</v>
      </c>
      <c r="B10" s="181"/>
      <c r="C10" s="181" t="s">
        <v>17</v>
      </c>
      <c r="D10" s="181"/>
      <c r="E10" s="181"/>
      <c r="F10" s="181"/>
      <c r="G10" s="181"/>
      <c r="H10" s="181"/>
      <c r="I10" s="181"/>
      <c r="J10" s="181"/>
      <c r="K10" s="181"/>
      <c r="L10" s="183" t="s">
        <v>18</v>
      </c>
      <c r="M10" s="184"/>
      <c r="N10" s="184"/>
      <c r="O10" s="184"/>
      <c r="P10" s="184"/>
      <c r="Q10" s="184"/>
      <c r="R10" s="184"/>
      <c r="S10" s="185"/>
      <c r="T10" s="184" t="s">
        <v>16</v>
      </c>
      <c r="U10" s="184"/>
      <c r="V10" s="185"/>
      <c r="W10" s="181" t="s">
        <v>28</v>
      </c>
      <c r="X10" s="181"/>
      <c r="Y10" s="181" t="s">
        <v>29</v>
      </c>
      <c r="Z10" s="181"/>
      <c r="AA10" s="181" t="s">
        <v>25</v>
      </c>
      <c r="AB10" s="181"/>
      <c r="AC10" s="181" t="s">
        <v>26</v>
      </c>
      <c r="AD10" s="181"/>
      <c r="AE10" s="181"/>
      <c r="AF10" s="181"/>
      <c r="AG10" s="181"/>
      <c r="AH10" s="181" t="s">
        <v>27</v>
      </c>
      <c r="AI10" s="181"/>
      <c r="AJ10" s="182" t="s">
        <v>30</v>
      </c>
      <c r="AK10" s="181"/>
      <c r="AL10" s="181" t="s">
        <v>31</v>
      </c>
      <c r="AM10" s="181"/>
      <c r="AN10" s="181"/>
      <c r="AO10" s="181" t="s">
        <v>32</v>
      </c>
      <c r="AP10" s="181"/>
      <c r="AQ10" s="181"/>
      <c r="AR10" s="181"/>
      <c r="AS10" s="181"/>
      <c r="AT10" s="181"/>
      <c r="AU10" s="181"/>
      <c r="AV10" s="181"/>
      <c r="AW10" s="181"/>
      <c r="AX10" s="181"/>
      <c r="AY10" s="181"/>
    </row>
    <row r="11" spans="1:51">
      <c r="A11" s="181"/>
      <c r="B11" s="181"/>
      <c r="C11" s="181"/>
      <c r="D11" s="181"/>
      <c r="E11" s="181"/>
      <c r="F11" s="181"/>
      <c r="G11" s="181"/>
      <c r="H11" s="181"/>
      <c r="I11" s="181"/>
      <c r="J11" s="181"/>
      <c r="K11" s="181"/>
      <c r="L11" s="186"/>
      <c r="M11" s="187"/>
      <c r="N11" s="187"/>
      <c r="O11" s="187"/>
      <c r="P11" s="187"/>
      <c r="Q11" s="187"/>
      <c r="R11" s="187"/>
      <c r="S11" s="188"/>
      <c r="T11" s="187"/>
      <c r="U11" s="187"/>
      <c r="V11" s="188"/>
      <c r="W11" s="181"/>
      <c r="X11" s="181"/>
      <c r="Y11" s="181"/>
      <c r="Z11" s="181"/>
      <c r="AA11" s="181" t="s">
        <v>24</v>
      </c>
      <c r="AB11" s="181"/>
      <c r="AC11" s="9" t="s">
        <v>19</v>
      </c>
      <c r="AD11" s="9" t="s">
        <v>20</v>
      </c>
      <c r="AE11" s="9" t="s">
        <v>21</v>
      </c>
      <c r="AF11" s="9" t="s">
        <v>22</v>
      </c>
      <c r="AG11" s="9" t="s">
        <v>23</v>
      </c>
      <c r="AH11" s="181" t="s">
        <v>24</v>
      </c>
      <c r="AI11" s="181"/>
      <c r="AJ11" s="181"/>
      <c r="AK11" s="181"/>
      <c r="AL11" s="181"/>
      <c r="AM11" s="181"/>
      <c r="AN11" s="181"/>
      <c r="AO11" s="181"/>
      <c r="AP11" s="181"/>
      <c r="AQ11" s="181"/>
      <c r="AR11" s="181"/>
      <c r="AS11" s="181"/>
      <c r="AT11" s="181"/>
      <c r="AU11" s="181"/>
      <c r="AV11" s="181"/>
      <c r="AW11" s="181"/>
      <c r="AX11" s="181"/>
      <c r="AY11" s="181"/>
    </row>
    <row r="12" spans="1:51">
      <c r="A12" s="189">
        <f t="shared" ref="A12:A54" si="0">ROW()-11</f>
        <v>1</v>
      </c>
      <c r="B12" s="190"/>
      <c r="C12" s="61" t="s">
        <v>82</v>
      </c>
      <c r="D12" s="59"/>
      <c r="E12" s="59"/>
      <c r="F12" s="59"/>
      <c r="G12" s="59"/>
      <c r="H12" s="59"/>
      <c r="I12" s="59"/>
      <c r="J12" s="59"/>
      <c r="K12" s="60"/>
      <c r="L12" s="191" t="s">
        <v>93</v>
      </c>
      <c r="M12" s="192"/>
      <c r="N12" s="192"/>
      <c r="O12" s="192"/>
      <c r="P12" s="192"/>
      <c r="Q12" s="192"/>
      <c r="R12" s="192"/>
      <c r="S12" s="193"/>
      <c r="T12" s="194" t="s">
        <v>41</v>
      </c>
      <c r="U12" s="195"/>
      <c r="V12" s="196"/>
      <c r="W12" s="197" t="s">
        <v>43</v>
      </c>
      <c r="X12" s="198"/>
      <c r="Y12" s="197">
        <v>8</v>
      </c>
      <c r="Z12" s="198"/>
      <c r="AA12" s="197"/>
      <c r="AB12" s="198"/>
      <c r="AC12" s="47"/>
      <c r="AD12" s="22"/>
      <c r="AE12" s="22"/>
      <c r="AF12" s="22"/>
      <c r="AG12" s="49"/>
      <c r="AH12" s="197"/>
      <c r="AI12" s="198"/>
      <c r="AJ12" s="199"/>
      <c r="AK12" s="200"/>
      <c r="AL12" s="197"/>
      <c r="AM12" s="201"/>
      <c r="AN12" s="198"/>
      <c r="AO12" s="192"/>
      <c r="AP12" s="192"/>
      <c r="AQ12" s="192"/>
      <c r="AR12" s="192"/>
      <c r="AS12" s="192"/>
      <c r="AT12" s="192"/>
      <c r="AU12" s="192"/>
      <c r="AV12" s="192"/>
      <c r="AW12" s="192"/>
      <c r="AX12" s="192"/>
      <c r="AY12" s="193"/>
    </row>
    <row r="13" spans="1:51">
      <c r="A13" s="189">
        <f t="shared" si="0"/>
        <v>2</v>
      </c>
      <c r="B13" s="190"/>
      <c r="C13" s="61" t="s">
        <v>83</v>
      </c>
      <c r="D13" s="59"/>
      <c r="E13" s="59"/>
      <c r="F13" s="59"/>
      <c r="G13" s="59"/>
      <c r="H13" s="59"/>
      <c r="I13" s="59"/>
      <c r="J13" s="59"/>
      <c r="K13" s="60"/>
      <c r="L13" s="191" t="s">
        <v>94</v>
      </c>
      <c r="M13" s="192"/>
      <c r="N13" s="192"/>
      <c r="O13" s="192"/>
      <c r="P13" s="192"/>
      <c r="Q13" s="192"/>
      <c r="R13" s="192"/>
      <c r="S13" s="193"/>
      <c r="T13" s="194" t="s">
        <v>40</v>
      </c>
      <c r="U13" s="195"/>
      <c r="V13" s="196"/>
      <c r="W13" s="197">
        <v>60</v>
      </c>
      <c r="X13" s="198"/>
      <c r="Y13" s="197">
        <v>60</v>
      </c>
      <c r="Z13" s="198"/>
      <c r="AA13" s="197"/>
      <c r="AB13" s="198"/>
      <c r="AC13" s="47"/>
      <c r="AD13" s="22"/>
      <c r="AE13" s="22"/>
      <c r="AF13" s="22"/>
      <c r="AG13" s="49"/>
      <c r="AH13" s="197"/>
      <c r="AI13" s="198"/>
      <c r="AJ13" s="199"/>
      <c r="AK13" s="200"/>
      <c r="AL13" s="197"/>
      <c r="AM13" s="201"/>
      <c r="AN13" s="198"/>
      <c r="AO13" s="192"/>
      <c r="AP13" s="192"/>
      <c r="AQ13" s="192"/>
      <c r="AR13" s="192"/>
      <c r="AS13" s="192"/>
      <c r="AT13" s="192"/>
      <c r="AU13" s="192"/>
      <c r="AV13" s="192"/>
      <c r="AW13" s="192"/>
      <c r="AX13" s="192"/>
      <c r="AY13" s="193"/>
    </row>
    <row r="14" spans="1:51">
      <c r="A14" s="189">
        <f t="shared" si="0"/>
        <v>3</v>
      </c>
      <c r="B14" s="190"/>
      <c r="C14" s="61" t="s">
        <v>90</v>
      </c>
      <c r="D14" s="59"/>
      <c r="E14" s="59"/>
      <c r="F14" s="59"/>
      <c r="G14" s="59"/>
      <c r="H14" s="59"/>
      <c r="I14" s="59"/>
      <c r="J14" s="59"/>
      <c r="K14" s="60"/>
      <c r="L14" s="191" t="s">
        <v>95</v>
      </c>
      <c r="M14" s="192"/>
      <c r="N14" s="192"/>
      <c r="O14" s="192"/>
      <c r="P14" s="192"/>
      <c r="Q14" s="192"/>
      <c r="R14" s="192"/>
      <c r="S14" s="193"/>
      <c r="T14" s="194" t="s">
        <v>42</v>
      </c>
      <c r="U14" s="195"/>
      <c r="V14" s="196"/>
      <c r="W14" s="197" t="s">
        <v>91</v>
      </c>
      <c r="X14" s="198"/>
      <c r="Y14" s="197">
        <v>4</v>
      </c>
      <c r="Z14" s="198"/>
      <c r="AA14" s="197"/>
      <c r="AB14" s="198"/>
      <c r="AC14" s="47"/>
      <c r="AD14" s="22"/>
      <c r="AE14" s="22"/>
      <c r="AF14" s="22"/>
      <c r="AG14" s="49"/>
      <c r="AH14" s="197"/>
      <c r="AI14" s="198"/>
      <c r="AJ14" s="199"/>
      <c r="AK14" s="200"/>
      <c r="AL14" s="197"/>
      <c r="AM14" s="201"/>
      <c r="AN14" s="198"/>
      <c r="AO14" s="192"/>
      <c r="AP14" s="192"/>
      <c r="AQ14" s="192"/>
      <c r="AR14" s="192"/>
      <c r="AS14" s="192"/>
      <c r="AT14" s="192"/>
      <c r="AU14" s="192"/>
      <c r="AV14" s="192"/>
      <c r="AW14" s="192"/>
      <c r="AX14" s="192"/>
      <c r="AY14" s="193"/>
    </row>
    <row r="15" spans="1:51">
      <c r="A15" s="189">
        <f t="shared" si="0"/>
        <v>4</v>
      </c>
      <c r="B15" s="190"/>
      <c r="C15" s="61" t="s">
        <v>84</v>
      </c>
      <c r="D15" s="59"/>
      <c r="E15" s="59"/>
      <c r="F15" s="59"/>
      <c r="G15" s="59"/>
      <c r="H15" s="59"/>
      <c r="I15" s="59"/>
      <c r="J15" s="59"/>
      <c r="K15" s="60"/>
      <c r="L15" s="191" t="s">
        <v>96</v>
      </c>
      <c r="M15" s="192"/>
      <c r="N15" s="192"/>
      <c r="O15" s="192"/>
      <c r="P15" s="192"/>
      <c r="Q15" s="192"/>
      <c r="R15" s="192"/>
      <c r="S15" s="193"/>
      <c r="T15" s="194" t="s">
        <v>41</v>
      </c>
      <c r="U15" s="195"/>
      <c r="V15" s="196"/>
      <c r="W15" s="197" t="s">
        <v>43</v>
      </c>
      <c r="X15" s="198"/>
      <c r="Y15" s="197">
        <v>8</v>
      </c>
      <c r="Z15" s="198"/>
      <c r="AA15" s="197"/>
      <c r="AB15" s="198"/>
      <c r="AC15" s="47"/>
      <c r="AD15" s="22"/>
      <c r="AE15" s="22"/>
      <c r="AF15" s="22"/>
      <c r="AG15" s="49"/>
      <c r="AH15" s="197"/>
      <c r="AI15" s="198"/>
      <c r="AJ15" s="199"/>
      <c r="AK15" s="200"/>
      <c r="AL15" s="197"/>
      <c r="AM15" s="201"/>
      <c r="AN15" s="198"/>
      <c r="AO15" s="192"/>
      <c r="AP15" s="192"/>
      <c r="AQ15" s="192"/>
      <c r="AR15" s="192"/>
      <c r="AS15" s="192"/>
      <c r="AT15" s="192"/>
      <c r="AU15" s="192"/>
      <c r="AV15" s="192"/>
      <c r="AW15" s="192"/>
      <c r="AX15" s="192"/>
      <c r="AY15" s="193"/>
    </row>
    <row r="16" spans="1:51">
      <c r="A16" s="189">
        <f t="shared" si="0"/>
        <v>5</v>
      </c>
      <c r="B16" s="190"/>
      <c r="C16" s="61" t="s">
        <v>85</v>
      </c>
      <c r="D16" s="59"/>
      <c r="E16" s="59"/>
      <c r="F16" s="59"/>
      <c r="G16" s="59"/>
      <c r="H16" s="59"/>
      <c r="I16" s="59"/>
      <c r="J16" s="59"/>
      <c r="K16" s="60"/>
      <c r="L16" s="191" t="s">
        <v>97</v>
      </c>
      <c r="M16" s="192"/>
      <c r="N16" s="192"/>
      <c r="O16" s="192"/>
      <c r="P16" s="192"/>
      <c r="Q16" s="192"/>
      <c r="R16" s="192"/>
      <c r="S16" s="193"/>
      <c r="T16" s="194" t="s">
        <v>40</v>
      </c>
      <c r="U16" s="195"/>
      <c r="V16" s="196"/>
      <c r="W16" s="197">
        <v>60</v>
      </c>
      <c r="X16" s="198"/>
      <c r="Y16" s="197">
        <v>60</v>
      </c>
      <c r="Z16" s="198"/>
      <c r="AA16" s="197"/>
      <c r="AB16" s="198"/>
      <c r="AC16" s="47"/>
      <c r="AD16" s="22"/>
      <c r="AE16" s="22"/>
      <c r="AF16" s="22"/>
      <c r="AG16" s="49"/>
      <c r="AH16" s="197"/>
      <c r="AI16" s="198"/>
      <c r="AJ16" s="199"/>
      <c r="AK16" s="200"/>
      <c r="AL16" s="197"/>
      <c r="AM16" s="201"/>
      <c r="AN16" s="198"/>
      <c r="AO16" s="192"/>
      <c r="AP16" s="192"/>
      <c r="AQ16" s="192"/>
      <c r="AR16" s="192"/>
      <c r="AS16" s="192"/>
      <c r="AT16" s="192"/>
      <c r="AU16" s="192"/>
      <c r="AV16" s="192"/>
      <c r="AW16" s="192"/>
      <c r="AX16" s="192"/>
      <c r="AY16" s="193"/>
    </row>
    <row r="17" spans="1:51">
      <c r="A17" s="189">
        <f t="shared" si="0"/>
        <v>6</v>
      </c>
      <c r="B17" s="190"/>
      <c r="C17" s="61" t="s">
        <v>92</v>
      </c>
      <c r="D17" s="59"/>
      <c r="E17" s="59"/>
      <c r="F17" s="59"/>
      <c r="G17" s="59"/>
      <c r="H17" s="59"/>
      <c r="I17" s="59"/>
      <c r="J17" s="59"/>
      <c r="K17" s="60"/>
      <c r="L17" s="191" t="s">
        <v>98</v>
      </c>
      <c r="M17" s="192"/>
      <c r="N17" s="192"/>
      <c r="O17" s="192"/>
      <c r="P17" s="192"/>
      <c r="Q17" s="192"/>
      <c r="R17" s="192"/>
      <c r="S17" s="193"/>
      <c r="T17" s="194" t="s">
        <v>42</v>
      </c>
      <c r="U17" s="195"/>
      <c r="V17" s="196"/>
      <c r="W17" s="197" t="s">
        <v>91</v>
      </c>
      <c r="X17" s="198"/>
      <c r="Y17" s="197">
        <v>4</v>
      </c>
      <c r="Z17" s="198"/>
      <c r="AA17" s="197"/>
      <c r="AB17" s="198"/>
      <c r="AC17" s="47"/>
      <c r="AD17" s="22"/>
      <c r="AE17" s="22"/>
      <c r="AF17" s="22"/>
      <c r="AG17" s="49"/>
      <c r="AH17" s="197"/>
      <c r="AI17" s="198"/>
      <c r="AJ17" s="199"/>
      <c r="AK17" s="200"/>
      <c r="AL17" s="197"/>
      <c r="AM17" s="201"/>
      <c r="AN17" s="198"/>
      <c r="AO17" s="192"/>
      <c r="AP17" s="192"/>
      <c r="AQ17" s="192"/>
      <c r="AR17" s="192"/>
      <c r="AS17" s="192"/>
      <c r="AT17" s="192"/>
      <c r="AU17" s="192"/>
      <c r="AV17" s="192"/>
      <c r="AW17" s="192"/>
      <c r="AX17" s="192"/>
      <c r="AY17" s="193"/>
    </row>
    <row r="18" spans="1:51">
      <c r="A18" s="189">
        <f t="shared" si="0"/>
        <v>7</v>
      </c>
      <c r="B18" s="190"/>
      <c r="C18" s="61" t="s">
        <v>100</v>
      </c>
      <c r="D18" s="59"/>
      <c r="E18" s="59"/>
      <c r="F18" s="59"/>
      <c r="G18" s="59"/>
      <c r="H18" s="59"/>
      <c r="I18" s="59"/>
      <c r="J18" s="59"/>
      <c r="K18" s="60"/>
      <c r="L18" s="191" t="s">
        <v>103</v>
      </c>
      <c r="M18" s="192"/>
      <c r="N18" s="192"/>
      <c r="O18" s="192"/>
      <c r="P18" s="192"/>
      <c r="Q18" s="192"/>
      <c r="R18" s="192"/>
      <c r="S18" s="193"/>
      <c r="T18" s="194" t="s">
        <v>41</v>
      </c>
      <c r="U18" s="195"/>
      <c r="V18" s="196"/>
      <c r="W18" s="197" t="s">
        <v>43</v>
      </c>
      <c r="X18" s="198"/>
      <c r="Y18" s="197">
        <v>8</v>
      </c>
      <c r="Z18" s="198"/>
      <c r="AA18" s="197"/>
      <c r="AB18" s="198"/>
      <c r="AC18" s="47"/>
      <c r="AD18" s="22"/>
      <c r="AE18" s="22"/>
      <c r="AF18" s="22"/>
      <c r="AG18" s="49"/>
      <c r="AH18" s="197"/>
      <c r="AI18" s="198"/>
      <c r="AJ18" s="199"/>
      <c r="AK18" s="200"/>
      <c r="AL18" s="197"/>
      <c r="AM18" s="201"/>
      <c r="AN18" s="198"/>
      <c r="AO18" s="192"/>
      <c r="AP18" s="192"/>
      <c r="AQ18" s="192"/>
      <c r="AR18" s="192"/>
      <c r="AS18" s="192"/>
      <c r="AT18" s="192"/>
      <c r="AU18" s="192"/>
      <c r="AV18" s="192"/>
      <c r="AW18" s="192"/>
      <c r="AX18" s="192"/>
      <c r="AY18" s="193"/>
    </row>
    <row r="19" spans="1:51">
      <c r="A19" s="189">
        <f t="shared" si="0"/>
        <v>8</v>
      </c>
      <c r="B19" s="190"/>
      <c r="C19" s="61" t="s">
        <v>101</v>
      </c>
      <c r="D19" s="59"/>
      <c r="E19" s="59"/>
      <c r="F19" s="59"/>
      <c r="G19" s="59"/>
      <c r="H19" s="59"/>
      <c r="I19" s="59"/>
      <c r="J19" s="59"/>
      <c r="K19" s="60"/>
      <c r="L19" s="191" t="s">
        <v>104</v>
      </c>
      <c r="M19" s="192"/>
      <c r="N19" s="192"/>
      <c r="O19" s="192"/>
      <c r="P19" s="192"/>
      <c r="Q19" s="192"/>
      <c r="R19" s="192"/>
      <c r="S19" s="193"/>
      <c r="T19" s="194" t="s">
        <v>40</v>
      </c>
      <c r="U19" s="195"/>
      <c r="V19" s="196"/>
      <c r="W19" s="197">
        <v>60</v>
      </c>
      <c r="X19" s="198"/>
      <c r="Y19" s="197">
        <v>60</v>
      </c>
      <c r="Z19" s="198"/>
      <c r="AA19" s="197"/>
      <c r="AB19" s="198"/>
      <c r="AC19" s="47"/>
      <c r="AD19" s="22"/>
      <c r="AE19" s="22"/>
      <c r="AF19" s="22"/>
      <c r="AG19" s="49"/>
      <c r="AH19" s="197"/>
      <c r="AI19" s="198"/>
      <c r="AJ19" s="199"/>
      <c r="AK19" s="200"/>
      <c r="AL19" s="197"/>
      <c r="AM19" s="201"/>
      <c r="AN19" s="198"/>
      <c r="AO19" s="192"/>
      <c r="AP19" s="192"/>
      <c r="AQ19" s="192"/>
      <c r="AR19" s="192"/>
      <c r="AS19" s="192"/>
      <c r="AT19" s="192"/>
      <c r="AU19" s="192"/>
      <c r="AV19" s="192"/>
      <c r="AW19" s="192"/>
      <c r="AX19" s="192"/>
      <c r="AY19" s="193"/>
    </row>
    <row r="20" spans="1:51">
      <c r="A20" s="189">
        <f t="shared" si="0"/>
        <v>9</v>
      </c>
      <c r="B20" s="190"/>
      <c r="C20" s="61" t="s">
        <v>102</v>
      </c>
      <c r="D20" s="59"/>
      <c r="E20" s="59"/>
      <c r="F20" s="59"/>
      <c r="G20" s="59"/>
      <c r="H20" s="59"/>
      <c r="I20" s="59"/>
      <c r="J20" s="59"/>
      <c r="K20" s="60"/>
      <c r="L20" s="191" t="s">
        <v>105</v>
      </c>
      <c r="M20" s="192"/>
      <c r="N20" s="192"/>
      <c r="O20" s="192"/>
      <c r="P20" s="192"/>
      <c r="Q20" s="192"/>
      <c r="R20" s="192"/>
      <c r="S20" s="193"/>
      <c r="T20" s="194" t="s">
        <v>42</v>
      </c>
      <c r="U20" s="195"/>
      <c r="V20" s="196"/>
      <c r="W20" s="197" t="s">
        <v>91</v>
      </c>
      <c r="X20" s="198"/>
      <c r="Y20" s="197">
        <v>4</v>
      </c>
      <c r="Z20" s="198"/>
      <c r="AA20" s="197"/>
      <c r="AB20" s="198"/>
      <c r="AC20" s="47"/>
      <c r="AD20" s="22"/>
      <c r="AE20" s="22"/>
      <c r="AF20" s="22"/>
      <c r="AG20" s="49"/>
      <c r="AH20" s="197"/>
      <c r="AI20" s="198"/>
      <c r="AJ20" s="199"/>
      <c r="AK20" s="200"/>
      <c r="AL20" s="197"/>
      <c r="AM20" s="201"/>
      <c r="AN20" s="198"/>
      <c r="AO20" s="192"/>
      <c r="AP20" s="192"/>
      <c r="AQ20" s="192"/>
      <c r="AR20" s="192"/>
      <c r="AS20" s="192"/>
      <c r="AT20" s="192"/>
      <c r="AU20" s="192"/>
      <c r="AV20" s="192"/>
      <c r="AW20" s="192"/>
      <c r="AX20" s="192"/>
      <c r="AY20" s="193"/>
    </row>
    <row r="21" spans="1:51">
      <c r="A21" s="189">
        <f>ROW()-11</f>
        <v>10</v>
      </c>
      <c r="B21" s="190"/>
      <c r="C21" s="61" t="s">
        <v>86</v>
      </c>
      <c r="D21" s="59"/>
      <c r="E21" s="59"/>
      <c r="F21" s="59"/>
      <c r="G21" s="59"/>
      <c r="H21" s="59"/>
      <c r="I21" s="59"/>
      <c r="J21" s="59"/>
      <c r="K21" s="60"/>
      <c r="L21" s="191" t="s">
        <v>99</v>
      </c>
      <c r="M21" s="192"/>
      <c r="N21" s="192"/>
      <c r="O21" s="192"/>
      <c r="P21" s="192"/>
      <c r="Q21" s="192"/>
      <c r="R21" s="192"/>
      <c r="S21" s="193"/>
      <c r="T21" s="194" t="s">
        <v>42</v>
      </c>
      <c r="U21" s="195"/>
      <c r="V21" s="196"/>
      <c r="W21" s="197">
        <v>1</v>
      </c>
      <c r="X21" s="198"/>
      <c r="Y21" s="197">
        <v>1</v>
      </c>
      <c r="Z21" s="198"/>
      <c r="AA21" s="197"/>
      <c r="AB21" s="198"/>
      <c r="AC21" s="47"/>
      <c r="AD21" s="22"/>
      <c r="AE21" s="22"/>
      <c r="AF21" s="22"/>
      <c r="AG21" s="49"/>
      <c r="AH21" s="197"/>
      <c r="AI21" s="198"/>
      <c r="AJ21" s="199"/>
      <c r="AK21" s="200"/>
      <c r="AL21" s="197">
        <v>0</v>
      </c>
      <c r="AM21" s="201"/>
      <c r="AN21" s="198"/>
      <c r="AO21" s="192" t="s">
        <v>44</v>
      </c>
      <c r="AP21" s="192"/>
      <c r="AQ21" s="192"/>
      <c r="AR21" s="192"/>
      <c r="AS21" s="192"/>
      <c r="AT21" s="192"/>
      <c r="AU21" s="192"/>
      <c r="AV21" s="192"/>
      <c r="AW21" s="192"/>
      <c r="AX21" s="192"/>
      <c r="AY21" s="193"/>
    </row>
    <row r="22" spans="1:51">
      <c r="A22" s="202">
        <f t="shared" si="0"/>
        <v>11</v>
      </c>
      <c r="B22" s="204"/>
      <c r="C22" s="48" t="s">
        <v>190</v>
      </c>
      <c r="D22" s="42"/>
      <c r="E22" s="42"/>
      <c r="F22" s="42"/>
      <c r="G22" s="42"/>
      <c r="H22" s="42"/>
      <c r="I22" s="42"/>
      <c r="J22" s="42"/>
      <c r="K22" s="44"/>
      <c r="L22" s="48" t="s">
        <v>190</v>
      </c>
      <c r="M22" s="42"/>
      <c r="N22" s="42"/>
      <c r="O22" s="42"/>
      <c r="P22" s="42"/>
      <c r="Q22" s="42"/>
      <c r="R22" s="42"/>
      <c r="S22" s="44"/>
      <c r="T22" s="207" t="s">
        <v>42</v>
      </c>
      <c r="U22" s="208"/>
      <c r="V22" s="209"/>
      <c r="W22" s="220" t="s">
        <v>129</v>
      </c>
      <c r="X22" s="221"/>
      <c r="Y22" s="220">
        <v>6</v>
      </c>
      <c r="Z22" s="221"/>
      <c r="AA22" s="215">
        <v>1</v>
      </c>
      <c r="AB22" s="216"/>
      <c r="AC22" s="46"/>
      <c r="AD22" s="24"/>
      <c r="AE22" s="24"/>
      <c r="AF22" s="24"/>
      <c r="AG22" s="51"/>
      <c r="AH22" s="215"/>
      <c r="AI22" s="216"/>
      <c r="AJ22" s="212" t="s">
        <v>128</v>
      </c>
      <c r="AK22" s="213"/>
      <c r="AL22" s="215"/>
      <c r="AM22" s="217"/>
      <c r="AN22" s="216"/>
      <c r="AO22" s="205"/>
      <c r="AP22" s="205"/>
      <c r="AQ22" s="205"/>
      <c r="AR22" s="205"/>
      <c r="AS22" s="205"/>
      <c r="AT22" s="205"/>
      <c r="AU22" s="205"/>
      <c r="AV22" s="205"/>
      <c r="AW22" s="205"/>
      <c r="AX22" s="205"/>
      <c r="AY22" s="206"/>
    </row>
    <row r="23" spans="1:51">
      <c r="A23" s="202">
        <f t="shared" si="0"/>
        <v>12</v>
      </c>
      <c r="B23" s="204"/>
      <c r="C23" s="48" t="s">
        <v>191</v>
      </c>
      <c r="D23" s="42"/>
      <c r="E23" s="42"/>
      <c r="F23" s="42"/>
      <c r="G23" s="42"/>
      <c r="H23" s="42"/>
      <c r="I23" s="42"/>
      <c r="J23" s="42"/>
      <c r="K23" s="44"/>
      <c r="L23" s="48" t="s">
        <v>191</v>
      </c>
      <c r="M23" s="42"/>
      <c r="N23" s="42"/>
      <c r="O23" s="42"/>
      <c r="P23" s="42"/>
      <c r="Q23" s="42"/>
      <c r="R23" s="42"/>
      <c r="S23" s="44"/>
      <c r="T23" s="207" t="s">
        <v>40</v>
      </c>
      <c r="U23" s="208"/>
      <c r="V23" s="209"/>
      <c r="W23" s="202">
        <v>60</v>
      </c>
      <c r="X23" s="204"/>
      <c r="Y23" s="202">
        <v>60</v>
      </c>
      <c r="Z23" s="204"/>
      <c r="AA23" s="202"/>
      <c r="AB23" s="204"/>
      <c r="AC23" s="46"/>
      <c r="AD23" s="24"/>
      <c r="AE23" s="24"/>
      <c r="AF23" s="24"/>
      <c r="AG23" s="51"/>
      <c r="AH23" s="202"/>
      <c r="AI23" s="204"/>
      <c r="AJ23" s="212"/>
      <c r="AK23" s="213"/>
      <c r="AL23" s="202"/>
      <c r="AM23" s="203"/>
      <c r="AN23" s="204"/>
      <c r="AO23" s="205"/>
      <c r="AP23" s="205"/>
      <c r="AQ23" s="205"/>
      <c r="AR23" s="205"/>
      <c r="AS23" s="205"/>
      <c r="AT23" s="205"/>
      <c r="AU23" s="205"/>
      <c r="AV23" s="205"/>
      <c r="AW23" s="205"/>
      <c r="AX23" s="205"/>
      <c r="AY23" s="206"/>
    </row>
    <row r="24" spans="1:51">
      <c r="A24" s="202">
        <f t="shared" si="0"/>
        <v>13</v>
      </c>
      <c r="B24" s="204"/>
      <c r="C24" s="48" t="s">
        <v>192</v>
      </c>
      <c r="D24" s="42"/>
      <c r="E24" s="42"/>
      <c r="F24" s="42"/>
      <c r="G24" s="42"/>
      <c r="H24" s="42"/>
      <c r="I24" s="42"/>
      <c r="J24" s="42"/>
      <c r="K24" s="44"/>
      <c r="L24" s="48" t="s">
        <v>192</v>
      </c>
      <c r="M24" s="42"/>
      <c r="N24" s="42"/>
      <c r="O24" s="42"/>
      <c r="P24" s="42"/>
      <c r="Q24" s="42"/>
      <c r="R24" s="42"/>
      <c r="S24" s="44"/>
      <c r="T24" s="207" t="s">
        <v>40</v>
      </c>
      <c r="U24" s="208"/>
      <c r="V24" s="209"/>
      <c r="W24" s="202">
        <v>60</v>
      </c>
      <c r="X24" s="204"/>
      <c r="Y24" s="202">
        <v>60</v>
      </c>
      <c r="Z24" s="204"/>
      <c r="AA24" s="202"/>
      <c r="AB24" s="204"/>
      <c r="AC24" s="46"/>
      <c r="AD24" s="24"/>
      <c r="AE24" s="24"/>
      <c r="AF24" s="24"/>
      <c r="AG24" s="51"/>
      <c r="AH24" s="202"/>
      <c r="AI24" s="204"/>
      <c r="AJ24" s="100"/>
      <c r="AK24" s="102"/>
      <c r="AL24" s="202"/>
      <c r="AM24" s="203"/>
      <c r="AN24" s="204"/>
      <c r="AO24" s="205"/>
      <c r="AP24" s="205"/>
      <c r="AQ24" s="205"/>
      <c r="AR24" s="205"/>
      <c r="AS24" s="205"/>
      <c r="AT24" s="205"/>
      <c r="AU24" s="205"/>
      <c r="AV24" s="205"/>
      <c r="AW24" s="205"/>
      <c r="AX24" s="205"/>
      <c r="AY24" s="206"/>
    </row>
    <row r="25" spans="1:51">
      <c r="A25" s="218">
        <f t="shared" si="0"/>
        <v>14</v>
      </c>
      <c r="B25" s="219"/>
      <c r="C25" s="48" t="s">
        <v>198</v>
      </c>
      <c r="D25" s="42"/>
      <c r="E25" s="42"/>
      <c r="F25" s="42"/>
      <c r="G25" s="42"/>
      <c r="H25" s="42"/>
      <c r="I25" s="42"/>
      <c r="J25" s="42"/>
      <c r="K25" s="44"/>
      <c r="L25" s="48" t="s">
        <v>198</v>
      </c>
      <c r="M25" s="42"/>
      <c r="N25" s="42"/>
      <c r="O25" s="42"/>
      <c r="P25" s="42"/>
      <c r="Q25" s="42"/>
      <c r="R25" s="42"/>
      <c r="S25" s="44"/>
      <c r="T25" s="207" t="s">
        <v>42</v>
      </c>
      <c r="U25" s="208"/>
      <c r="V25" s="209"/>
      <c r="W25" s="202" t="s">
        <v>127</v>
      </c>
      <c r="X25" s="204"/>
      <c r="Y25" s="202">
        <v>2</v>
      </c>
      <c r="Z25" s="204"/>
      <c r="AA25" s="220"/>
      <c r="AB25" s="221"/>
      <c r="AC25" s="45"/>
      <c r="AD25" s="23"/>
      <c r="AE25" s="23"/>
      <c r="AF25" s="23"/>
      <c r="AG25" s="50"/>
      <c r="AH25" s="220"/>
      <c r="AI25" s="221"/>
      <c r="AJ25" s="223"/>
      <c r="AK25" s="224"/>
      <c r="AL25" s="220"/>
      <c r="AM25" s="222"/>
      <c r="AN25" s="221"/>
      <c r="AO25" s="205"/>
      <c r="AP25" s="205"/>
      <c r="AQ25" s="205"/>
      <c r="AR25" s="205"/>
      <c r="AS25" s="205"/>
      <c r="AT25" s="205"/>
      <c r="AU25" s="205"/>
      <c r="AV25" s="205"/>
      <c r="AW25" s="205"/>
      <c r="AX25" s="205"/>
      <c r="AY25" s="206"/>
    </row>
    <row r="26" spans="1:51">
      <c r="A26" s="202">
        <f t="shared" si="0"/>
        <v>15</v>
      </c>
      <c r="B26" s="204"/>
      <c r="C26" s="48" t="s">
        <v>193</v>
      </c>
      <c r="D26" s="42"/>
      <c r="E26" s="42"/>
      <c r="F26" s="42"/>
      <c r="G26" s="42"/>
      <c r="H26" s="42"/>
      <c r="I26" s="42"/>
      <c r="J26" s="42"/>
      <c r="K26" s="44"/>
      <c r="L26" s="48" t="s">
        <v>193</v>
      </c>
      <c r="M26" s="42"/>
      <c r="N26" s="42"/>
      <c r="O26" s="42"/>
      <c r="P26" s="42"/>
      <c r="Q26" s="42"/>
      <c r="R26" s="42"/>
      <c r="S26" s="44"/>
      <c r="T26" s="207" t="s">
        <v>42</v>
      </c>
      <c r="U26" s="208"/>
      <c r="V26" s="209"/>
      <c r="W26" s="202" t="s">
        <v>127</v>
      </c>
      <c r="X26" s="204"/>
      <c r="Y26" s="202">
        <v>2</v>
      </c>
      <c r="Z26" s="204"/>
      <c r="AA26" s="202"/>
      <c r="AB26" s="204"/>
      <c r="AC26" s="45"/>
      <c r="AD26" s="23"/>
      <c r="AE26" s="23"/>
      <c r="AF26" s="23"/>
      <c r="AG26" s="50"/>
      <c r="AH26" s="202"/>
      <c r="AI26" s="204"/>
      <c r="AJ26" s="100"/>
      <c r="AK26" s="102"/>
      <c r="AL26" s="202"/>
      <c r="AM26" s="203"/>
      <c r="AN26" s="204"/>
      <c r="AO26" s="205"/>
      <c r="AP26" s="205"/>
      <c r="AQ26" s="205"/>
      <c r="AR26" s="205"/>
      <c r="AS26" s="205"/>
      <c r="AT26" s="205"/>
      <c r="AU26" s="205"/>
      <c r="AV26" s="205"/>
      <c r="AW26" s="205"/>
      <c r="AX26" s="205"/>
      <c r="AY26" s="206"/>
    </row>
    <row r="27" spans="1:51">
      <c r="A27" s="218">
        <f t="shared" si="0"/>
        <v>16</v>
      </c>
      <c r="B27" s="219"/>
      <c r="C27" s="48" t="s">
        <v>206</v>
      </c>
      <c r="D27" s="42"/>
      <c r="E27" s="42"/>
      <c r="F27" s="42"/>
      <c r="G27" s="42"/>
      <c r="H27" s="42"/>
      <c r="I27" s="42"/>
      <c r="J27" s="42"/>
      <c r="K27" s="44"/>
      <c r="L27" s="48" t="s">
        <v>206</v>
      </c>
      <c r="M27" s="42"/>
      <c r="N27" s="42"/>
      <c r="O27" s="42"/>
      <c r="P27" s="42"/>
      <c r="Q27" s="42"/>
      <c r="R27" s="42"/>
      <c r="S27" s="44"/>
      <c r="T27" s="207" t="s">
        <v>40</v>
      </c>
      <c r="U27" s="208"/>
      <c r="V27" s="209"/>
      <c r="W27" s="202">
        <v>60</v>
      </c>
      <c r="X27" s="204"/>
      <c r="Y27" s="202">
        <v>60</v>
      </c>
      <c r="Z27" s="204"/>
      <c r="AA27" s="220"/>
      <c r="AB27" s="221"/>
      <c r="AC27" s="45"/>
      <c r="AD27" s="23"/>
      <c r="AE27" s="23"/>
      <c r="AF27" s="23"/>
      <c r="AG27" s="50"/>
      <c r="AH27" s="220"/>
      <c r="AI27" s="221"/>
      <c r="AJ27" s="223"/>
      <c r="AK27" s="224"/>
      <c r="AL27" s="220"/>
      <c r="AM27" s="222"/>
      <c r="AN27" s="221"/>
      <c r="AO27" s="205"/>
      <c r="AP27" s="205"/>
      <c r="AQ27" s="205"/>
      <c r="AR27" s="205"/>
      <c r="AS27" s="205"/>
      <c r="AT27" s="205"/>
      <c r="AU27" s="205"/>
      <c r="AV27" s="205"/>
      <c r="AW27" s="205"/>
      <c r="AX27" s="205"/>
      <c r="AY27" s="206"/>
    </row>
    <row r="28" spans="1:51">
      <c r="A28" s="202">
        <f t="shared" si="0"/>
        <v>17</v>
      </c>
      <c r="B28" s="204"/>
      <c r="C28" s="48" t="s">
        <v>194</v>
      </c>
      <c r="D28" s="42"/>
      <c r="E28" s="42"/>
      <c r="F28" s="42"/>
      <c r="G28" s="42"/>
      <c r="H28" s="42"/>
      <c r="I28" s="42"/>
      <c r="J28" s="42"/>
      <c r="K28" s="44"/>
      <c r="L28" s="48" t="s">
        <v>194</v>
      </c>
      <c r="M28" s="42"/>
      <c r="N28" s="42"/>
      <c r="O28" s="42"/>
      <c r="P28" s="42"/>
      <c r="Q28" s="42"/>
      <c r="R28" s="42"/>
      <c r="S28" s="44"/>
      <c r="T28" s="207" t="s">
        <v>42</v>
      </c>
      <c r="U28" s="208"/>
      <c r="V28" s="209"/>
      <c r="W28" s="202" t="s">
        <v>199</v>
      </c>
      <c r="X28" s="204"/>
      <c r="Y28" s="202">
        <v>9</v>
      </c>
      <c r="Z28" s="204"/>
      <c r="AA28" s="215"/>
      <c r="AB28" s="216"/>
      <c r="AC28" s="46"/>
      <c r="AD28" s="24"/>
      <c r="AE28" s="24"/>
      <c r="AF28" s="24"/>
      <c r="AG28" s="51"/>
      <c r="AH28" s="215"/>
      <c r="AI28" s="216"/>
      <c r="AJ28" s="100"/>
      <c r="AK28" s="102"/>
      <c r="AL28" s="215"/>
      <c r="AM28" s="217"/>
      <c r="AN28" s="216"/>
      <c r="AO28" s="205"/>
      <c r="AP28" s="205"/>
      <c r="AQ28" s="205"/>
      <c r="AR28" s="205"/>
      <c r="AS28" s="205"/>
      <c r="AT28" s="205"/>
      <c r="AU28" s="205"/>
      <c r="AV28" s="205"/>
      <c r="AW28" s="205"/>
      <c r="AX28" s="205"/>
      <c r="AY28" s="206"/>
    </row>
    <row r="29" spans="1:51">
      <c r="A29" s="218">
        <f t="shared" si="0"/>
        <v>18</v>
      </c>
      <c r="B29" s="219"/>
      <c r="C29" s="48" t="s">
        <v>195</v>
      </c>
      <c r="D29" s="42"/>
      <c r="E29" s="42"/>
      <c r="F29" s="42"/>
      <c r="G29" s="42"/>
      <c r="H29" s="42"/>
      <c r="I29" s="42"/>
      <c r="J29" s="42"/>
      <c r="K29" s="44"/>
      <c r="L29" s="48" t="s">
        <v>195</v>
      </c>
      <c r="M29" s="42"/>
      <c r="N29" s="42"/>
      <c r="O29" s="42"/>
      <c r="P29" s="42"/>
      <c r="Q29" s="42"/>
      <c r="R29" s="42"/>
      <c r="S29" s="44"/>
      <c r="T29" s="207" t="s">
        <v>42</v>
      </c>
      <c r="U29" s="208"/>
      <c r="V29" s="209"/>
      <c r="W29" s="202" t="s">
        <v>199</v>
      </c>
      <c r="X29" s="204"/>
      <c r="Y29" s="202">
        <v>9</v>
      </c>
      <c r="Z29" s="204"/>
      <c r="AA29" s="220"/>
      <c r="AB29" s="221"/>
      <c r="AC29" s="45"/>
      <c r="AD29" s="23"/>
      <c r="AE29" s="23"/>
      <c r="AF29" s="23"/>
      <c r="AG29" s="50"/>
      <c r="AH29" s="220"/>
      <c r="AI29" s="221"/>
      <c r="AJ29" s="223"/>
      <c r="AK29" s="224"/>
      <c r="AL29" s="220"/>
      <c r="AM29" s="222"/>
      <c r="AN29" s="221"/>
      <c r="AO29" s="205"/>
      <c r="AP29" s="205"/>
      <c r="AQ29" s="205"/>
      <c r="AR29" s="205"/>
      <c r="AS29" s="205"/>
      <c r="AT29" s="205"/>
      <c r="AU29" s="205"/>
      <c r="AV29" s="205"/>
      <c r="AW29" s="205"/>
      <c r="AX29" s="205"/>
      <c r="AY29" s="206"/>
    </row>
    <row r="30" spans="1:51">
      <c r="A30" s="218">
        <f t="shared" si="0"/>
        <v>19</v>
      </c>
      <c r="B30" s="219"/>
      <c r="C30" s="48" t="s">
        <v>196</v>
      </c>
      <c r="D30" s="42"/>
      <c r="E30" s="42"/>
      <c r="F30" s="42"/>
      <c r="G30" s="42"/>
      <c r="H30" s="42"/>
      <c r="I30" s="42"/>
      <c r="J30" s="42"/>
      <c r="K30" s="44"/>
      <c r="L30" s="48" t="s">
        <v>196</v>
      </c>
      <c r="M30" s="42"/>
      <c r="N30" s="42"/>
      <c r="O30" s="42"/>
      <c r="P30" s="42"/>
      <c r="Q30" s="42"/>
      <c r="R30" s="42"/>
      <c r="S30" s="44"/>
      <c r="T30" s="207" t="s">
        <v>42</v>
      </c>
      <c r="U30" s="208"/>
      <c r="V30" s="209"/>
      <c r="W30" s="202" t="s">
        <v>130</v>
      </c>
      <c r="X30" s="204"/>
      <c r="Y30" s="202">
        <v>1</v>
      </c>
      <c r="Z30" s="204"/>
      <c r="AA30" s="202"/>
      <c r="AB30" s="204"/>
      <c r="AC30" s="45"/>
      <c r="AD30" s="23"/>
      <c r="AE30" s="23"/>
      <c r="AF30" s="23"/>
      <c r="AG30" s="50"/>
      <c r="AH30" s="202"/>
      <c r="AI30" s="204"/>
      <c r="AJ30" s="100"/>
      <c r="AK30" s="102"/>
      <c r="AL30" s="202"/>
      <c r="AM30" s="203"/>
      <c r="AN30" s="204"/>
      <c r="AO30" s="205"/>
      <c r="AP30" s="205"/>
      <c r="AQ30" s="205"/>
      <c r="AR30" s="205"/>
      <c r="AS30" s="205"/>
      <c r="AT30" s="205"/>
      <c r="AU30" s="205"/>
      <c r="AV30" s="205"/>
      <c r="AW30" s="205"/>
      <c r="AX30" s="205"/>
      <c r="AY30" s="206"/>
    </row>
    <row r="31" spans="1:51">
      <c r="A31" s="218">
        <f t="shared" si="0"/>
        <v>20</v>
      </c>
      <c r="B31" s="219"/>
      <c r="C31" s="48" t="s">
        <v>197</v>
      </c>
      <c r="D31" s="42"/>
      <c r="E31" s="42"/>
      <c r="F31" s="42"/>
      <c r="G31" s="42"/>
      <c r="H31" s="42"/>
      <c r="I31" s="42"/>
      <c r="J31" s="42"/>
      <c r="K31" s="44"/>
      <c r="L31" s="48" t="s">
        <v>197</v>
      </c>
      <c r="M31" s="42"/>
      <c r="N31" s="42"/>
      <c r="O31" s="42"/>
      <c r="P31" s="42"/>
      <c r="Q31" s="42"/>
      <c r="R31" s="42"/>
      <c r="S31" s="44"/>
      <c r="T31" s="207" t="s">
        <v>42</v>
      </c>
      <c r="U31" s="208"/>
      <c r="V31" s="209"/>
      <c r="W31" s="202" t="s">
        <v>130</v>
      </c>
      <c r="X31" s="204"/>
      <c r="Y31" s="202">
        <v>1</v>
      </c>
      <c r="Z31" s="204"/>
      <c r="AA31" s="202"/>
      <c r="AB31" s="204"/>
      <c r="AC31" s="45"/>
      <c r="AD31" s="23"/>
      <c r="AE31" s="23"/>
      <c r="AF31" s="23"/>
      <c r="AG31" s="50"/>
      <c r="AH31" s="202"/>
      <c r="AI31" s="204"/>
      <c r="AJ31" s="100"/>
      <c r="AK31" s="102"/>
      <c r="AL31" s="202"/>
      <c r="AM31" s="203"/>
      <c r="AN31" s="204"/>
      <c r="AO31" s="205"/>
      <c r="AP31" s="205"/>
      <c r="AQ31" s="205"/>
      <c r="AR31" s="205"/>
      <c r="AS31" s="205"/>
      <c r="AT31" s="205"/>
      <c r="AU31" s="205"/>
      <c r="AV31" s="205"/>
      <c r="AW31" s="205"/>
      <c r="AX31" s="205"/>
      <c r="AY31" s="206"/>
    </row>
    <row r="32" spans="1:51">
      <c r="A32" s="218">
        <f t="shared" si="0"/>
        <v>21</v>
      </c>
      <c r="B32" s="219"/>
      <c r="C32" s="48"/>
      <c r="D32" s="42"/>
      <c r="E32" s="42"/>
      <c r="F32" s="42"/>
      <c r="G32" s="42"/>
      <c r="H32" s="42"/>
      <c r="I32" s="42"/>
      <c r="J32" s="42"/>
      <c r="K32" s="44"/>
      <c r="L32" s="48"/>
      <c r="M32" s="42"/>
      <c r="N32" s="42"/>
      <c r="O32" s="42"/>
      <c r="P32" s="42"/>
      <c r="Q32" s="42"/>
      <c r="R32" s="42"/>
      <c r="S32" s="44"/>
      <c r="T32" s="207"/>
      <c r="U32" s="208"/>
      <c r="V32" s="209"/>
      <c r="W32" s="202"/>
      <c r="X32" s="204"/>
      <c r="Y32" s="220"/>
      <c r="Z32" s="221"/>
      <c r="AA32" s="220"/>
      <c r="AB32" s="221"/>
      <c r="AC32" s="45"/>
      <c r="AD32" s="23"/>
      <c r="AE32" s="23"/>
      <c r="AF32" s="23"/>
      <c r="AG32" s="50"/>
      <c r="AH32" s="220"/>
      <c r="AI32" s="221"/>
      <c r="AJ32" s="223"/>
      <c r="AK32" s="224"/>
      <c r="AL32" s="220"/>
      <c r="AM32" s="222"/>
      <c r="AN32" s="221"/>
      <c r="AO32" s="205"/>
      <c r="AP32" s="205"/>
      <c r="AQ32" s="205"/>
      <c r="AR32" s="205"/>
      <c r="AS32" s="205"/>
      <c r="AT32" s="205"/>
      <c r="AU32" s="205"/>
      <c r="AV32" s="205"/>
      <c r="AW32" s="205"/>
      <c r="AX32" s="205"/>
      <c r="AY32" s="206"/>
    </row>
    <row r="33" spans="1:51">
      <c r="A33" s="218">
        <f t="shared" si="0"/>
        <v>22</v>
      </c>
      <c r="B33" s="219"/>
      <c r="C33" s="48"/>
      <c r="D33" s="42"/>
      <c r="E33" s="42"/>
      <c r="F33" s="42"/>
      <c r="G33" s="42"/>
      <c r="H33" s="42"/>
      <c r="I33" s="42"/>
      <c r="J33" s="42"/>
      <c r="K33" s="44"/>
      <c r="L33" s="48"/>
      <c r="M33" s="42"/>
      <c r="N33" s="42"/>
      <c r="O33" s="42"/>
      <c r="P33" s="42"/>
      <c r="Q33" s="42"/>
      <c r="R33" s="42"/>
      <c r="S33" s="44"/>
      <c r="T33" s="207"/>
      <c r="U33" s="208"/>
      <c r="V33" s="209"/>
      <c r="W33" s="202"/>
      <c r="X33" s="204"/>
      <c r="Y33" s="220"/>
      <c r="Z33" s="221"/>
      <c r="AA33" s="220"/>
      <c r="AB33" s="221"/>
      <c r="AC33" s="45"/>
      <c r="AD33" s="23"/>
      <c r="AE33" s="23"/>
      <c r="AF33" s="23"/>
      <c r="AG33" s="50"/>
      <c r="AH33" s="220"/>
      <c r="AI33" s="221"/>
      <c r="AJ33" s="223"/>
      <c r="AK33" s="224"/>
      <c r="AL33" s="220"/>
      <c r="AM33" s="222"/>
      <c r="AN33" s="221"/>
      <c r="AO33" s="205"/>
      <c r="AP33" s="205"/>
      <c r="AQ33" s="205"/>
      <c r="AR33" s="205"/>
      <c r="AS33" s="205"/>
      <c r="AT33" s="205"/>
      <c r="AU33" s="205"/>
      <c r="AV33" s="205"/>
      <c r="AW33" s="205"/>
      <c r="AX33" s="205"/>
      <c r="AY33" s="206"/>
    </row>
    <row r="34" spans="1:51">
      <c r="A34" s="218">
        <f t="shared" si="0"/>
        <v>23</v>
      </c>
      <c r="B34" s="219"/>
      <c r="C34" s="48"/>
      <c r="D34" s="42"/>
      <c r="E34" s="42"/>
      <c r="F34" s="42"/>
      <c r="G34" s="42"/>
      <c r="H34" s="42"/>
      <c r="I34" s="42"/>
      <c r="J34" s="42"/>
      <c r="K34" s="44"/>
      <c r="L34" s="48"/>
      <c r="M34" s="42"/>
      <c r="N34" s="42"/>
      <c r="O34" s="42"/>
      <c r="P34" s="42"/>
      <c r="Q34" s="42"/>
      <c r="R34" s="42"/>
      <c r="S34" s="44"/>
      <c r="T34" s="207"/>
      <c r="U34" s="208"/>
      <c r="V34" s="209"/>
      <c r="W34" s="202"/>
      <c r="X34" s="204"/>
      <c r="Y34" s="202"/>
      <c r="Z34" s="204"/>
      <c r="AA34" s="220"/>
      <c r="AB34" s="221"/>
      <c r="AC34" s="45"/>
      <c r="AD34" s="23"/>
      <c r="AE34" s="23"/>
      <c r="AF34" s="23"/>
      <c r="AG34" s="50"/>
      <c r="AH34" s="220"/>
      <c r="AI34" s="221"/>
      <c r="AJ34" s="223"/>
      <c r="AK34" s="224"/>
      <c r="AL34" s="220"/>
      <c r="AM34" s="222"/>
      <c r="AN34" s="221"/>
      <c r="AO34" s="205"/>
      <c r="AP34" s="205"/>
      <c r="AQ34" s="205"/>
      <c r="AR34" s="205"/>
      <c r="AS34" s="205"/>
      <c r="AT34" s="205"/>
      <c r="AU34" s="205"/>
      <c r="AV34" s="205"/>
      <c r="AW34" s="205"/>
      <c r="AX34" s="205"/>
      <c r="AY34" s="206"/>
    </row>
    <row r="35" spans="1:51">
      <c r="A35" s="218">
        <f t="shared" si="0"/>
        <v>24</v>
      </c>
      <c r="B35" s="219"/>
      <c r="C35" s="48"/>
      <c r="D35" s="42"/>
      <c r="E35" s="42"/>
      <c r="F35" s="42"/>
      <c r="G35" s="42"/>
      <c r="H35" s="42"/>
      <c r="I35" s="42"/>
      <c r="J35" s="42"/>
      <c r="K35" s="44"/>
      <c r="L35" s="48"/>
      <c r="M35" s="42"/>
      <c r="N35" s="42"/>
      <c r="O35" s="42"/>
      <c r="P35" s="42"/>
      <c r="Q35" s="42"/>
      <c r="R35" s="42"/>
      <c r="S35" s="44"/>
      <c r="T35" s="207"/>
      <c r="U35" s="208"/>
      <c r="V35" s="209"/>
      <c r="W35" s="202"/>
      <c r="X35" s="204"/>
      <c r="Y35" s="202"/>
      <c r="Z35" s="204"/>
      <c r="AA35" s="220"/>
      <c r="AB35" s="221"/>
      <c r="AC35" s="45"/>
      <c r="AD35" s="23"/>
      <c r="AE35" s="23"/>
      <c r="AF35" s="23"/>
      <c r="AG35" s="50"/>
      <c r="AH35" s="220"/>
      <c r="AI35" s="221"/>
      <c r="AJ35" s="223"/>
      <c r="AK35" s="224"/>
      <c r="AL35" s="220"/>
      <c r="AM35" s="222"/>
      <c r="AN35" s="221"/>
      <c r="AO35" s="205"/>
      <c r="AP35" s="205"/>
      <c r="AQ35" s="205"/>
      <c r="AR35" s="205"/>
      <c r="AS35" s="205"/>
      <c r="AT35" s="205"/>
      <c r="AU35" s="205"/>
      <c r="AV35" s="205"/>
      <c r="AW35" s="205"/>
      <c r="AX35" s="205"/>
      <c r="AY35" s="206"/>
    </row>
    <row r="36" spans="1:51">
      <c r="A36" s="218">
        <f t="shared" si="0"/>
        <v>25</v>
      </c>
      <c r="B36" s="219"/>
      <c r="C36" s="48"/>
      <c r="D36" s="42"/>
      <c r="E36" s="42"/>
      <c r="F36" s="42"/>
      <c r="G36" s="42"/>
      <c r="H36" s="42"/>
      <c r="I36" s="42"/>
      <c r="J36" s="42"/>
      <c r="K36" s="44"/>
      <c r="L36" s="48"/>
      <c r="M36" s="42"/>
      <c r="N36" s="42"/>
      <c r="O36" s="42"/>
      <c r="P36" s="42"/>
      <c r="Q36" s="42"/>
      <c r="R36" s="42"/>
      <c r="S36" s="44"/>
      <c r="T36" s="207"/>
      <c r="U36" s="208"/>
      <c r="V36" s="209"/>
      <c r="W36" s="202"/>
      <c r="X36" s="204"/>
      <c r="Y36" s="220"/>
      <c r="Z36" s="221"/>
      <c r="AA36" s="215"/>
      <c r="AB36" s="216"/>
      <c r="AC36" s="46"/>
      <c r="AD36" s="24"/>
      <c r="AE36" s="24"/>
      <c r="AF36" s="24"/>
      <c r="AG36" s="51"/>
      <c r="AH36" s="215"/>
      <c r="AI36" s="216"/>
      <c r="AJ36" s="212"/>
      <c r="AK36" s="213"/>
      <c r="AL36" s="215"/>
      <c r="AM36" s="217"/>
      <c r="AN36" s="216"/>
      <c r="AO36" s="205"/>
      <c r="AP36" s="205"/>
      <c r="AQ36" s="205"/>
      <c r="AR36" s="205"/>
      <c r="AS36" s="205"/>
      <c r="AT36" s="205"/>
      <c r="AU36" s="205"/>
      <c r="AV36" s="205"/>
      <c r="AW36" s="205"/>
      <c r="AX36" s="205"/>
      <c r="AY36" s="206"/>
    </row>
    <row r="37" spans="1:51">
      <c r="A37" s="202">
        <f t="shared" si="0"/>
        <v>26</v>
      </c>
      <c r="B37" s="204"/>
      <c r="C37" s="48"/>
      <c r="D37" s="42"/>
      <c r="E37" s="42"/>
      <c r="F37" s="42"/>
      <c r="G37" s="42"/>
      <c r="H37" s="42"/>
      <c r="I37" s="42"/>
      <c r="J37" s="42"/>
      <c r="K37" s="44"/>
      <c r="L37" s="48"/>
      <c r="M37" s="42"/>
      <c r="N37" s="42"/>
      <c r="O37" s="42"/>
      <c r="P37" s="42"/>
      <c r="Q37" s="42"/>
      <c r="R37" s="42"/>
      <c r="S37" s="44"/>
      <c r="T37" s="207"/>
      <c r="U37" s="208"/>
      <c r="V37" s="209"/>
      <c r="W37" s="202"/>
      <c r="X37" s="204"/>
      <c r="Y37" s="220"/>
      <c r="Z37" s="221"/>
      <c r="AA37" s="215"/>
      <c r="AB37" s="216"/>
      <c r="AC37" s="46"/>
      <c r="AD37" s="24"/>
      <c r="AE37" s="24"/>
      <c r="AF37" s="24"/>
      <c r="AG37" s="51"/>
      <c r="AH37" s="215"/>
      <c r="AI37" s="216"/>
      <c r="AJ37" s="212"/>
      <c r="AK37" s="213"/>
      <c r="AL37" s="215"/>
      <c r="AM37" s="217"/>
      <c r="AN37" s="216"/>
      <c r="AO37" s="205"/>
      <c r="AP37" s="205"/>
      <c r="AQ37" s="205"/>
      <c r="AR37" s="205"/>
      <c r="AS37" s="205"/>
      <c r="AT37" s="205"/>
      <c r="AU37" s="205"/>
      <c r="AV37" s="205"/>
      <c r="AW37" s="205"/>
      <c r="AX37" s="205"/>
      <c r="AY37" s="206"/>
    </row>
    <row r="38" spans="1:51">
      <c r="A38" s="218">
        <f t="shared" si="0"/>
        <v>27</v>
      </c>
      <c r="B38" s="219"/>
      <c r="C38" s="48"/>
      <c r="D38" s="42"/>
      <c r="E38" s="42"/>
      <c r="F38" s="42"/>
      <c r="G38" s="42"/>
      <c r="H38" s="42"/>
      <c r="I38" s="42"/>
      <c r="J38" s="42"/>
      <c r="K38" s="44"/>
      <c r="L38" s="48"/>
      <c r="M38" s="42"/>
      <c r="N38" s="42"/>
      <c r="O38" s="42"/>
      <c r="P38" s="42"/>
      <c r="Q38" s="42"/>
      <c r="R38" s="42"/>
      <c r="S38" s="44"/>
      <c r="T38" s="207"/>
      <c r="U38" s="208"/>
      <c r="V38" s="209"/>
      <c r="W38" s="202"/>
      <c r="X38" s="204"/>
      <c r="Y38" s="202"/>
      <c r="Z38" s="204"/>
      <c r="AA38" s="215"/>
      <c r="AB38" s="216"/>
      <c r="AC38" s="46"/>
      <c r="AD38" s="24"/>
      <c r="AE38" s="24"/>
      <c r="AF38" s="24"/>
      <c r="AG38" s="51"/>
      <c r="AH38" s="215"/>
      <c r="AI38" s="216"/>
      <c r="AJ38" s="212"/>
      <c r="AK38" s="213"/>
      <c r="AL38" s="215"/>
      <c r="AM38" s="217"/>
      <c r="AN38" s="216"/>
      <c r="AO38" s="205"/>
      <c r="AP38" s="205"/>
      <c r="AQ38" s="205"/>
      <c r="AR38" s="205"/>
      <c r="AS38" s="205"/>
      <c r="AT38" s="205"/>
      <c r="AU38" s="205"/>
      <c r="AV38" s="205"/>
      <c r="AW38" s="205"/>
      <c r="AX38" s="205"/>
      <c r="AY38" s="206"/>
    </row>
    <row r="39" spans="1:51">
      <c r="A39" s="202">
        <f t="shared" si="0"/>
        <v>28</v>
      </c>
      <c r="B39" s="204"/>
      <c r="C39" s="48"/>
      <c r="D39" s="42"/>
      <c r="E39" s="42"/>
      <c r="F39" s="42"/>
      <c r="G39" s="42"/>
      <c r="H39" s="42"/>
      <c r="I39" s="42"/>
      <c r="J39" s="42"/>
      <c r="K39" s="44"/>
      <c r="L39" s="48"/>
      <c r="M39" s="42"/>
      <c r="N39" s="42"/>
      <c r="O39" s="42"/>
      <c r="P39" s="42"/>
      <c r="Q39" s="42"/>
      <c r="R39" s="42"/>
      <c r="S39" s="44"/>
      <c r="T39" s="207"/>
      <c r="U39" s="208"/>
      <c r="V39" s="209"/>
      <c r="W39" s="220"/>
      <c r="X39" s="221"/>
      <c r="Y39" s="220"/>
      <c r="Z39" s="221"/>
      <c r="AA39" s="215"/>
      <c r="AB39" s="216"/>
      <c r="AC39" s="46"/>
      <c r="AD39" s="24"/>
      <c r="AE39" s="24"/>
      <c r="AF39" s="24"/>
      <c r="AG39" s="51"/>
      <c r="AH39" s="215"/>
      <c r="AI39" s="216"/>
      <c r="AJ39" s="212"/>
      <c r="AK39" s="213"/>
      <c r="AL39" s="215"/>
      <c r="AM39" s="217"/>
      <c r="AN39" s="216"/>
      <c r="AO39" s="205"/>
      <c r="AP39" s="205"/>
      <c r="AQ39" s="205"/>
      <c r="AR39" s="205"/>
      <c r="AS39" s="205"/>
      <c r="AT39" s="205"/>
      <c r="AU39" s="205"/>
      <c r="AV39" s="205"/>
      <c r="AW39" s="205"/>
      <c r="AX39" s="205"/>
      <c r="AY39" s="206"/>
    </row>
    <row r="40" spans="1:51">
      <c r="A40" s="202">
        <f t="shared" si="0"/>
        <v>29</v>
      </c>
      <c r="B40" s="204"/>
      <c r="C40" s="48"/>
      <c r="D40" s="42"/>
      <c r="E40" s="42"/>
      <c r="F40" s="42"/>
      <c r="G40" s="42"/>
      <c r="H40" s="42"/>
      <c r="I40" s="42"/>
      <c r="J40" s="42"/>
      <c r="K40" s="44"/>
      <c r="L40" s="48"/>
      <c r="M40" s="42"/>
      <c r="N40" s="42"/>
      <c r="O40" s="42"/>
      <c r="P40" s="42"/>
      <c r="Q40" s="42"/>
      <c r="R40" s="42"/>
      <c r="S40" s="44"/>
      <c r="T40" s="207"/>
      <c r="U40" s="208"/>
      <c r="V40" s="209"/>
      <c r="W40" s="220"/>
      <c r="X40" s="221"/>
      <c r="Y40" s="220"/>
      <c r="Z40" s="221"/>
      <c r="AA40" s="215"/>
      <c r="AB40" s="216"/>
      <c r="AC40" s="46"/>
      <c r="AD40" s="24"/>
      <c r="AE40" s="24"/>
      <c r="AF40" s="24"/>
      <c r="AG40" s="51"/>
      <c r="AH40" s="215"/>
      <c r="AI40" s="216"/>
      <c r="AJ40" s="212"/>
      <c r="AK40" s="213"/>
      <c r="AL40" s="215"/>
      <c r="AM40" s="217"/>
      <c r="AN40" s="216"/>
      <c r="AO40" s="205"/>
      <c r="AP40" s="205"/>
      <c r="AQ40" s="205"/>
      <c r="AR40" s="205"/>
      <c r="AS40" s="205"/>
      <c r="AT40" s="205"/>
      <c r="AU40" s="205"/>
      <c r="AV40" s="205"/>
      <c r="AW40" s="205"/>
      <c r="AX40" s="205"/>
      <c r="AY40" s="206"/>
    </row>
    <row r="41" spans="1:51">
      <c r="A41" s="218">
        <f t="shared" si="0"/>
        <v>30</v>
      </c>
      <c r="B41" s="219"/>
      <c r="C41" s="48"/>
      <c r="D41" s="42"/>
      <c r="E41" s="42"/>
      <c r="F41" s="42"/>
      <c r="G41" s="42"/>
      <c r="H41" s="42"/>
      <c r="I41" s="42"/>
      <c r="J41" s="42"/>
      <c r="K41" s="44"/>
      <c r="L41" s="48"/>
      <c r="M41" s="42"/>
      <c r="N41" s="42"/>
      <c r="O41" s="42"/>
      <c r="P41" s="42"/>
      <c r="Q41" s="42"/>
      <c r="R41" s="42"/>
      <c r="S41" s="44"/>
      <c r="T41" s="207"/>
      <c r="U41" s="208"/>
      <c r="V41" s="209"/>
      <c r="W41" s="220"/>
      <c r="X41" s="221"/>
      <c r="Y41" s="220"/>
      <c r="Z41" s="221"/>
      <c r="AA41" s="215"/>
      <c r="AB41" s="216"/>
      <c r="AC41" s="46"/>
      <c r="AD41" s="24"/>
      <c r="AE41" s="24"/>
      <c r="AF41" s="24"/>
      <c r="AG41" s="51"/>
      <c r="AH41" s="215"/>
      <c r="AI41" s="216"/>
      <c r="AJ41" s="212"/>
      <c r="AK41" s="213"/>
      <c r="AL41" s="215"/>
      <c r="AM41" s="217"/>
      <c r="AN41" s="216"/>
      <c r="AO41" s="205"/>
      <c r="AP41" s="205"/>
      <c r="AQ41" s="205"/>
      <c r="AR41" s="205"/>
      <c r="AS41" s="205"/>
      <c r="AT41" s="205"/>
      <c r="AU41" s="205"/>
      <c r="AV41" s="205"/>
      <c r="AW41" s="205"/>
      <c r="AX41" s="205"/>
      <c r="AY41" s="206"/>
    </row>
    <row r="42" spans="1:51">
      <c r="A42" s="202">
        <f t="shared" si="0"/>
        <v>31</v>
      </c>
      <c r="B42" s="204"/>
      <c r="C42" s="48"/>
      <c r="D42" s="42"/>
      <c r="E42" s="42"/>
      <c r="F42" s="42"/>
      <c r="G42" s="42"/>
      <c r="H42" s="42"/>
      <c r="I42" s="42"/>
      <c r="J42" s="42"/>
      <c r="K42" s="44"/>
      <c r="L42" s="48"/>
      <c r="M42" s="42"/>
      <c r="N42" s="42"/>
      <c r="O42" s="42"/>
      <c r="P42" s="42"/>
      <c r="Q42" s="42"/>
      <c r="R42" s="42"/>
      <c r="S42" s="44"/>
      <c r="T42" s="207"/>
      <c r="U42" s="208"/>
      <c r="V42" s="209"/>
      <c r="W42" s="220"/>
      <c r="X42" s="221"/>
      <c r="Y42" s="220"/>
      <c r="Z42" s="221"/>
      <c r="AA42" s="215"/>
      <c r="AB42" s="216"/>
      <c r="AC42" s="46"/>
      <c r="AD42" s="24"/>
      <c r="AE42" s="24"/>
      <c r="AF42" s="24"/>
      <c r="AG42" s="51"/>
      <c r="AH42" s="215"/>
      <c r="AI42" s="216"/>
      <c r="AJ42" s="212"/>
      <c r="AK42" s="213"/>
      <c r="AL42" s="215"/>
      <c r="AM42" s="217"/>
      <c r="AN42" s="216"/>
      <c r="AO42" s="205"/>
      <c r="AP42" s="205"/>
      <c r="AQ42" s="205"/>
      <c r="AR42" s="205"/>
      <c r="AS42" s="205"/>
      <c r="AT42" s="205"/>
      <c r="AU42" s="205"/>
      <c r="AV42" s="205"/>
      <c r="AW42" s="205"/>
      <c r="AX42" s="205"/>
      <c r="AY42" s="206"/>
    </row>
    <row r="43" spans="1:51">
      <c r="A43" s="202">
        <f t="shared" si="0"/>
        <v>32</v>
      </c>
      <c r="B43" s="204"/>
      <c r="C43" s="48"/>
      <c r="D43" s="42"/>
      <c r="E43" s="42"/>
      <c r="F43" s="42"/>
      <c r="G43" s="42"/>
      <c r="H43" s="42"/>
      <c r="I43" s="42"/>
      <c r="J43" s="42"/>
      <c r="K43" s="44"/>
      <c r="L43" s="48"/>
      <c r="M43" s="42"/>
      <c r="N43" s="42"/>
      <c r="O43" s="42"/>
      <c r="P43" s="42"/>
      <c r="Q43" s="42"/>
      <c r="R43" s="42"/>
      <c r="S43" s="44"/>
      <c r="T43" s="207"/>
      <c r="U43" s="208"/>
      <c r="V43" s="209"/>
      <c r="W43" s="220"/>
      <c r="X43" s="221"/>
      <c r="Y43" s="220"/>
      <c r="Z43" s="221"/>
      <c r="AA43" s="215"/>
      <c r="AB43" s="216"/>
      <c r="AC43" s="46"/>
      <c r="AD43" s="24"/>
      <c r="AE43" s="24"/>
      <c r="AF43" s="24"/>
      <c r="AG43" s="51"/>
      <c r="AH43" s="215"/>
      <c r="AI43" s="216"/>
      <c r="AJ43" s="212"/>
      <c r="AK43" s="213"/>
      <c r="AL43" s="215"/>
      <c r="AM43" s="217"/>
      <c r="AN43" s="216"/>
      <c r="AO43" s="205"/>
      <c r="AP43" s="205"/>
      <c r="AQ43" s="205"/>
      <c r="AR43" s="205"/>
      <c r="AS43" s="205"/>
      <c r="AT43" s="205"/>
      <c r="AU43" s="205"/>
      <c r="AV43" s="205"/>
      <c r="AW43" s="205"/>
      <c r="AX43" s="205"/>
      <c r="AY43" s="206"/>
    </row>
    <row r="44" spans="1:51">
      <c r="A44" s="202">
        <f t="shared" si="0"/>
        <v>33</v>
      </c>
      <c r="B44" s="204"/>
      <c r="C44" s="48"/>
      <c r="D44" s="42"/>
      <c r="E44" s="42"/>
      <c r="F44" s="42"/>
      <c r="G44" s="42"/>
      <c r="H44" s="42"/>
      <c r="I44" s="42"/>
      <c r="J44" s="42"/>
      <c r="K44" s="44"/>
      <c r="L44" s="48"/>
      <c r="M44" s="42"/>
      <c r="N44" s="42"/>
      <c r="O44" s="42"/>
      <c r="P44" s="42"/>
      <c r="Q44" s="42"/>
      <c r="R44" s="42"/>
      <c r="S44" s="44"/>
      <c r="T44" s="207"/>
      <c r="U44" s="208"/>
      <c r="V44" s="209"/>
      <c r="W44" s="220"/>
      <c r="X44" s="221"/>
      <c r="Y44" s="220"/>
      <c r="Z44" s="221"/>
      <c r="AA44" s="215"/>
      <c r="AB44" s="216"/>
      <c r="AC44" s="46"/>
      <c r="AD44" s="24"/>
      <c r="AE44" s="24"/>
      <c r="AF44" s="24"/>
      <c r="AG44" s="51"/>
      <c r="AH44" s="215"/>
      <c r="AI44" s="216"/>
      <c r="AJ44" s="212"/>
      <c r="AK44" s="213"/>
      <c r="AL44" s="215"/>
      <c r="AM44" s="217"/>
      <c r="AN44" s="216"/>
      <c r="AO44" s="205"/>
      <c r="AP44" s="205"/>
      <c r="AQ44" s="205"/>
      <c r="AR44" s="205"/>
      <c r="AS44" s="205"/>
      <c r="AT44" s="205"/>
      <c r="AU44" s="205"/>
      <c r="AV44" s="205"/>
      <c r="AW44" s="205"/>
      <c r="AX44" s="205"/>
      <c r="AY44" s="206"/>
    </row>
    <row r="45" spans="1:51">
      <c r="A45" s="202">
        <f t="shared" si="0"/>
        <v>34</v>
      </c>
      <c r="B45" s="204"/>
      <c r="C45" s="48"/>
      <c r="D45" s="42"/>
      <c r="E45" s="42"/>
      <c r="F45" s="42"/>
      <c r="G45" s="42"/>
      <c r="H45" s="42"/>
      <c r="I45" s="42"/>
      <c r="J45" s="42"/>
      <c r="K45" s="44"/>
      <c r="L45" s="48"/>
      <c r="M45" s="42"/>
      <c r="N45" s="42"/>
      <c r="O45" s="42"/>
      <c r="P45" s="42"/>
      <c r="Q45" s="42"/>
      <c r="R45" s="42"/>
      <c r="S45" s="44"/>
      <c r="T45" s="207"/>
      <c r="U45" s="208"/>
      <c r="V45" s="209"/>
      <c r="W45" s="220"/>
      <c r="X45" s="221"/>
      <c r="Y45" s="215"/>
      <c r="Z45" s="216"/>
      <c r="AA45" s="215"/>
      <c r="AB45" s="216"/>
      <c r="AC45" s="46"/>
      <c r="AD45" s="24"/>
      <c r="AE45" s="24"/>
      <c r="AF45" s="24"/>
      <c r="AG45" s="51"/>
      <c r="AH45" s="215"/>
      <c r="AI45" s="216"/>
      <c r="AJ45" s="212"/>
      <c r="AK45" s="213"/>
      <c r="AL45" s="215"/>
      <c r="AM45" s="217"/>
      <c r="AN45" s="216"/>
      <c r="AO45" s="205"/>
      <c r="AP45" s="205"/>
      <c r="AQ45" s="205"/>
      <c r="AR45" s="205"/>
      <c r="AS45" s="205"/>
      <c r="AT45" s="205"/>
      <c r="AU45" s="205"/>
      <c r="AV45" s="205"/>
      <c r="AW45" s="205"/>
      <c r="AX45" s="205"/>
      <c r="AY45" s="206"/>
    </row>
    <row r="46" spans="1:51">
      <c r="A46" s="210">
        <f t="shared" si="0"/>
        <v>35</v>
      </c>
      <c r="B46" s="211"/>
      <c r="C46" s="48"/>
      <c r="D46" s="42"/>
      <c r="E46" s="42"/>
      <c r="F46" s="42"/>
      <c r="G46" s="42"/>
      <c r="H46" s="42"/>
      <c r="I46" s="42"/>
      <c r="J46" s="42"/>
      <c r="K46" s="44"/>
      <c r="L46" s="48"/>
      <c r="M46" s="42"/>
      <c r="N46" s="42"/>
      <c r="O46" s="42"/>
      <c r="P46" s="42"/>
      <c r="Q46" s="42"/>
      <c r="R46" s="42"/>
      <c r="S46" s="44"/>
      <c r="T46" s="207"/>
      <c r="U46" s="208"/>
      <c r="V46" s="209"/>
      <c r="W46" s="220"/>
      <c r="X46" s="221"/>
      <c r="Y46" s="225"/>
      <c r="Z46" s="226"/>
      <c r="AA46" s="225"/>
      <c r="AB46" s="226"/>
      <c r="AC46" s="43"/>
      <c r="AD46" s="10"/>
      <c r="AE46" s="10"/>
      <c r="AF46" s="10"/>
      <c r="AG46" s="52"/>
      <c r="AH46" s="225"/>
      <c r="AI46" s="226"/>
      <c r="AJ46" s="227"/>
      <c r="AK46" s="228"/>
      <c r="AL46" s="225"/>
      <c r="AM46" s="229"/>
      <c r="AN46" s="226"/>
      <c r="AO46" s="230"/>
      <c r="AP46" s="230"/>
      <c r="AQ46" s="230"/>
      <c r="AR46" s="230"/>
      <c r="AS46" s="230"/>
      <c r="AT46" s="230"/>
      <c r="AU46" s="230"/>
      <c r="AV46" s="230"/>
      <c r="AW46" s="230"/>
      <c r="AX46" s="230"/>
      <c r="AY46" s="231"/>
    </row>
    <row r="47" spans="1:51">
      <c r="A47" s="210">
        <f t="shared" si="0"/>
        <v>36</v>
      </c>
      <c r="B47" s="211"/>
      <c r="C47" s="48"/>
      <c r="D47" s="42"/>
      <c r="E47" s="42"/>
      <c r="F47" s="42"/>
      <c r="G47" s="42"/>
      <c r="H47" s="42"/>
      <c r="I47" s="42"/>
      <c r="J47" s="42"/>
      <c r="K47" s="44"/>
      <c r="L47" s="48"/>
      <c r="M47" s="42"/>
      <c r="N47" s="42"/>
      <c r="O47" s="42"/>
      <c r="P47" s="42"/>
      <c r="Q47" s="42"/>
      <c r="R47" s="42"/>
      <c r="S47" s="44"/>
      <c r="T47" s="207"/>
      <c r="U47" s="208"/>
      <c r="V47" s="209"/>
      <c r="W47" s="220"/>
      <c r="X47" s="221"/>
      <c r="Y47" s="225"/>
      <c r="Z47" s="226"/>
      <c r="AA47" s="225"/>
      <c r="AB47" s="226"/>
      <c r="AC47" s="43"/>
      <c r="AD47" s="10"/>
      <c r="AE47" s="10"/>
      <c r="AF47" s="10"/>
      <c r="AG47" s="52"/>
      <c r="AH47" s="225"/>
      <c r="AI47" s="226"/>
      <c r="AJ47" s="227"/>
      <c r="AK47" s="228"/>
      <c r="AL47" s="225"/>
      <c r="AM47" s="229"/>
      <c r="AN47" s="226"/>
      <c r="AO47" s="230"/>
      <c r="AP47" s="230"/>
      <c r="AQ47" s="230"/>
      <c r="AR47" s="230"/>
      <c r="AS47" s="230"/>
      <c r="AT47" s="230"/>
      <c r="AU47" s="230"/>
      <c r="AV47" s="230"/>
      <c r="AW47" s="230"/>
      <c r="AX47" s="230"/>
      <c r="AY47" s="231"/>
    </row>
    <row r="48" spans="1:51">
      <c r="A48" s="210">
        <f t="shared" si="0"/>
        <v>37</v>
      </c>
      <c r="B48" s="211"/>
      <c r="C48" s="48"/>
      <c r="D48" s="42"/>
      <c r="E48" s="42"/>
      <c r="F48" s="42"/>
      <c r="G48" s="42"/>
      <c r="H48" s="42"/>
      <c r="I48" s="42"/>
      <c r="J48" s="42"/>
      <c r="K48" s="44"/>
      <c r="L48" s="48"/>
      <c r="M48" s="42"/>
      <c r="N48" s="42"/>
      <c r="O48" s="42"/>
      <c r="P48" s="42"/>
      <c r="Q48" s="42"/>
      <c r="R48" s="42"/>
      <c r="S48" s="44"/>
      <c r="T48" s="207"/>
      <c r="U48" s="208"/>
      <c r="V48" s="209"/>
      <c r="W48" s="220"/>
      <c r="X48" s="221"/>
      <c r="Y48" s="225"/>
      <c r="Z48" s="226"/>
      <c r="AA48" s="225"/>
      <c r="AB48" s="226"/>
      <c r="AC48" s="43"/>
      <c r="AD48" s="10"/>
      <c r="AE48" s="10"/>
      <c r="AF48" s="10"/>
      <c r="AG48" s="52"/>
      <c r="AH48" s="225"/>
      <c r="AI48" s="226"/>
      <c r="AJ48" s="227"/>
      <c r="AK48" s="228"/>
      <c r="AL48" s="225"/>
      <c r="AM48" s="229"/>
      <c r="AN48" s="226"/>
      <c r="AO48" s="230"/>
      <c r="AP48" s="230"/>
      <c r="AQ48" s="230"/>
      <c r="AR48" s="230"/>
      <c r="AS48" s="230"/>
      <c r="AT48" s="230"/>
      <c r="AU48" s="230"/>
      <c r="AV48" s="230"/>
      <c r="AW48" s="230"/>
      <c r="AX48" s="230"/>
      <c r="AY48" s="231"/>
    </row>
    <row r="49" spans="1:51">
      <c r="A49" s="210">
        <f t="shared" si="0"/>
        <v>38</v>
      </c>
      <c r="B49" s="211"/>
      <c r="C49" s="48"/>
      <c r="D49" s="42"/>
      <c r="E49" s="42"/>
      <c r="F49" s="42"/>
      <c r="G49" s="42"/>
      <c r="H49" s="42"/>
      <c r="I49" s="42"/>
      <c r="J49" s="42"/>
      <c r="K49" s="44"/>
      <c r="L49" s="48"/>
      <c r="M49" s="42"/>
      <c r="N49" s="42"/>
      <c r="O49" s="42"/>
      <c r="P49" s="42"/>
      <c r="Q49" s="42"/>
      <c r="R49" s="42"/>
      <c r="S49" s="44"/>
      <c r="T49" s="207"/>
      <c r="U49" s="208"/>
      <c r="V49" s="209"/>
      <c r="W49" s="220"/>
      <c r="X49" s="221"/>
      <c r="Y49" s="225"/>
      <c r="Z49" s="226"/>
      <c r="AA49" s="225"/>
      <c r="AB49" s="226"/>
      <c r="AC49" s="43"/>
      <c r="AD49" s="10"/>
      <c r="AE49" s="10"/>
      <c r="AF49" s="10"/>
      <c r="AG49" s="52"/>
      <c r="AH49" s="225"/>
      <c r="AI49" s="226"/>
      <c r="AJ49" s="227"/>
      <c r="AK49" s="228"/>
      <c r="AL49" s="225"/>
      <c r="AM49" s="229"/>
      <c r="AN49" s="226"/>
      <c r="AO49" s="230"/>
      <c r="AP49" s="230"/>
      <c r="AQ49" s="230"/>
      <c r="AR49" s="230"/>
      <c r="AS49" s="230"/>
      <c r="AT49" s="230"/>
      <c r="AU49" s="230"/>
      <c r="AV49" s="230"/>
      <c r="AW49" s="230"/>
      <c r="AX49" s="230"/>
      <c r="AY49" s="231"/>
    </row>
    <row r="50" spans="1:51">
      <c r="A50" s="210">
        <f t="shared" si="0"/>
        <v>39</v>
      </c>
      <c r="B50" s="211"/>
      <c r="C50" s="48"/>
      <c r="D50" s="42"/>
      <c r="E50" s="42"/>
      <c r="F50" s="42"/>
      <c r="G50" s="42"/>
      <c r="H50" s="42"/>
      <c r="I50" s="42"/>
      <c r="J50" s="42"/>
      <c r="K50" s="44"/>
      <c r="L50" s="48"/>
      <c r="M50" s="42"/>
      <c r="N50" s="42"/>
      <c r="O50" s="42"/>
      <c r="P50" s="42"/>
      <c r="Q50" s="42"/>
      <c r="R50" s="42"/>
      <c r="S50" s="44"/>
      <c r="T50" s="207"/>
      <c r="U50" s="208"/>
      <c r="V50" s="209"/>
      <c r="W50" s="220"/>
      <c r="X50" s="221"/>
      <c r="Y50" s="225"/>
      <c r="Z50" s="226"/>
      <c r="AA50" s="225"/>
      <c r="AB50" s="226"/>
      <c r="AC50" s="43"/>
      <c r="AD50" s="10"/>
      <c r="AE50" s="10"/>
      <c r="AF50" s="10"/>
      <c r="AG50" s="52"/>
      <c r="AH50" s="225"/>
      <c r="AI50" s="226"/>
      <c r="AJ50" s="227"/>
      <c r="AK50" s="228"/>
      <c r="AL50" s="225"/>
      <c r="AM50" s="229"/>
      <c r="AN50" s="226"/>
      <c r="AO50" s="230"/>
      <c r="AP50" s="230"/>
      <c r="AQ50" s="230"/>
      <c r="AR50" s="230"/>
      <c r="AS50" s="230"/>
      <c r="AT50" s="230"/>
      <c r="AU50" s="230"/>
      <c r="AV50" s="230"/>
      <c r="AW50" s="230"/>
      <c r="AX50" s="230"/>
      <c r="AY50" s="231"/>
    </row>
    <row r="51" spans="1:51">
      <c r="A51" s="210">
        <f t="shared" si="0"/>
        <v>40</v>
      </c>
      <c r="B51" s="211"/>
      <c r="C51" s="48"/>
      <c r="D51" s="42"/>
      <c r="E51" s="42"/>
      <c r="F51" s="42"/>
      <c r="G51" s="42"/>
      <c r="H51" s="42"/>
      <c r="I51" s="42"/>
      <c r="J51" s="42"/>
      <c r="K51" s="44"/>
      <c r="L51" s="48"/>
      <c r="M51" s="42"/>
      <c r="N51" s="42"/>
      <c r="O51" s="42"/>
      <c r="P51" s="42"/>
      <c r="Q51" s="42"/>
      <c r="R51" s="42"/>
      <c r="S51" s="44"/>
      <c r="T51" s="207"/>
      <c r="U51" s="208"/>
      <c r="V51" s="209"/>
      <c r="W51" s="220"/>
      <c r="X51" s="221"/>
      <c r="Y51" s="225"/>
      <c r="Z51" s="226"/>
      <c r="AA51" s="225"/>
      <c r="AB51" s="226"/>
      <c r="AC51" s="43"/>
      <c r="AD51" s="10"/>
      <c r="AE51" s="10"/>
      <c r="AF51" s="10"/>
      <c r="AG51" s="52"/>
      <c r="AH51" s="225"/>
      <c r="AI51" s="226"/>
      <c r="AJ51" s="227"/>
      <c r="AK51" s="228"/>
      <c r="AL51" s="225"/>
      <c r="AM51" s="229"/>
      <c r="AN51" s="226"/>
      <c r="AO51" s="230"/>
      <c r="AP51" s="230"/>
      <c r="AQ51" s="230"/>
      <c r="AR51" s="230"/>
      <c r="AS51" s="230"/>
      <c r="AT51" s="230"/>
      <c r="AU51" s="230"/>
      <c r="AV51" s="230"/>
      <c r="AW51" s="230"/>
      <c r="AX51" s="230"/>
      <c r="AY51" s="231"/>
    </row>
    <row r="52" spans="1:51">
      <c r="A52" s="210">
        <f t="shared" si="0"/>
        <v>41</v>
      </c>
      <c r="B52" s="211"/>
      <c r="C52" s="48"/>
      <c r="D52" s="42"/>
      <c r="E52" s="42"/>
      <c r="F52" s="42"/>
      <c r="G52" s="42"/>
      <c r="H52" s="42"/>
      <c r="I52" s="42"/>
      <c r="J52" s="42"/>
      <c r="K52" s="44"/>
      <c r="L52" s="48"/>
      <c r="M52" s="42"/>
      <c r="N52" s="42"/>
      <c r="O52" s="42"/>
      <c r="P52" s="42"/>
      <c r="Q52" s="42"/>
      <c r="R52" s="42"/>
      <c r="S52" s="44"/>
      <c r="T52" s="207"/>
      <c r="U52" s="208"/>
      <c r="V52" s="209"/>
      <c r="W52" s="225"/>
      <c r="X52" s="226"/>
      <c r="Y52" s="225"/>
      <c r="Z52" s="226"/>
      <c r="AA52" s="225"/>
      <c r="AB52" s="226"/>
      <c r="AC52" s="43"/>
      <c r="AD52" s="10"/>
      <c r="AE52" s="10"/>
      <c r="AF52" s="10"/>
      <c r="AG52" s="52"/>
      <c r="AH52" s="225"/>
      <c r="AI52" s="226"/>
      <c r="AJ52" s="227"/>
      <c r="AK52" s="228"/>
      <c r="AL52" s="225"/>
      <c r="AM52" s="229"/>
      <c r="AN52" s="226"/>
      <c r="AO52" s="230"/>
      <c r="AP52" s="230"/>
      <c r="AQ52" s="230"/>
      <c r="AR52" s="230"/>
      <c r="AS52" s="230"/>
      <c r="AT52" s="230"/>
      <c r="AU52" s="230"/>
      <c r="AV52" s="230"/>
      <c r="AW52" s="230"/>
      <c r="AX52" s="230"/>
      <c r="AY52" s="231"/>
    </row>
    <row r="53" spans="1:51">
      <c r="A53" s="210">
        <f t="shared" si="0"/>
        <v>42</v>
      </c>
      <c r="B53" s="211"/>
      <c r="C53" s="48"/>
      <c r="D53" s="42"/>
      <c r="E53" s="42"/>
      <c r="F53" s="42"/>
      <c r="G53" s="42"/>
      <c r="H53" s="42"/>
      <c r="I53" s="42"/>
      <c r="J53" s="42"/>
      <c r="K53" s="44"/>
      <c r="L53" s="48"/>
      <c r="M53" s="42"/>
      <c r="N53" s="42"/>
      <c r="O53" s="42"/>
      <c r="P53" s="42"/>
      <c r="Q53" s="42"/>
      <c r="R53" s="42"/>
      <c r="S53" s="44"/>
      <c r="T53" s="207"/>
      <c r="U53" s="208"/>
      <c r="V53" s="209"/>
      <c r="W53" s="225"/>
      <c r="X53" s="226"/>
      <c r="Y53" s="225"/>
      <c r="Z53" s="226"/>
      <c r="AA53" s="225"/>
      <c r="AB53" s="226"/>
      <c r="AC53" s="43"/>
      <c r="AD53" s="10"/>
      <c r="AE53" s="10"/>
      <c r="AF53" s="10"/>
      <c r="AG53" s="52"/>
      <c r="AH53" s="225"/>
      <c r="AI53" s="226"/>
      <c r="AJ53" s="227"/>
      <c r="AK53" s="228"/>
      <c r="AL53" s="225"/>
      <c r="AM53" s="229"/>
      <c r="AN53" s="226"/>
      <c r="AO53" s="230"/>
      <c r="AP53" s="230"/>
      <c r="AQ53" s="230"/>
      <c r="AR53" s="230"/>
      <c r="AS53" s="230"/>
      <c r="AT53" s="230"/>
      <c r="AU53" s="230"/>
      <c r="AV53" s="230"/>
      <c r="AW53" s="230"/>
      <c r="AX53" s="230"/>
      <c r="AY53" s="231"/>
    </row>
    <row r="54" spans="1:51">
      <c r="A54" s="210">
        <f t="shared" si="0"/>
        <v>43</v>
      </c>
      <c r="B54" s="211"/>
      <c r="C54" s="48"/>
      <c r="D54" s="42"/>
      <c r="E54" s="42"/>
      <c r="F54" s="42"/>
      <c r="G54" s="42"/>
      <c r="H54" s="42"/>
      <c r="I54" s="42"/>
      <c r="J54" s="42"/>
      <c r="K54" s="44"/>
      <c r="L54" s="48"/>
      <c r="M54" s="42"/>
      <c r="N54" s="42"/>
      <c r="O54" s="42"/>
      <c r="P54" s="42"/>
      <c r="Q54" s="42"/>
      <c r="R54" s="42"/>
      <c r="S54" s="44"/>
      <c r="T54" s="207"/>
      <c r="U54" s="208"/>
      <c r="V54" s="209"/>
      <c r="W54" s="225"/>
      <c r="X54" s="226"/>
      <c r="Y54" s="225"/>
      <c r="Z54" s="226"/>
      <c r="AA54" s="225"/>
      <c r="AB54" s="226"/>
      <c r="AC54" s="43"/>
      <c r="AD54" s="10"/>
      <c r="AE54" s="10"/>
      <c r="AF54" s="10"/>
      <c r="AG54" s="52"/>
      <c r="AH54" s="225"/>
      <c r="AI54" s="226"/>
      <c r="AJ54" s="227"/>
      <c r="AK54" s="228"/>
      <c r="AL54" s="225"/>
      <c r="AM54" s="229"/>
      <c r="AN54" s="226"/>
      <c r="AO54" s="230"/>
      <c r="AP54" s="230"/>
      <c r="AQ54" s="230"/>
      <c r="AR54" s="230"/>
      <c r="AS54" s="230"/>
      <c r="AT54" s="230"/>
      <c r="AU54" s="230"/>
      <c r="AV54" s="230"/>
      <c r="AW54" s="230"/>
      <c r="AX54" s="230"/>
      <c r="AY54" s="231"/>
    </row>
  </sheetData>
  <mergeCells count="455">
    <mergeCell ref="AJ54:AK54"/>
    <mergeCell ref="AL54:AN54"/>
    <mergeCell ref="AO54:AY54"/>
    <mergeCell ref="A54:B54"/>
    <mergeCell ref="T54:V54"/>
    <mergeCell ref="W54:X54"/>
    <mergeCell ref="Y54:Z54"/>
    <mergeCell ref="AA54:AB54"/>
    <mergeCell ref="AH54:AI54"/>
    <mergeCell ref="AO52:AY52"/>
    <mergeCell ref="A53:B53"/>
    <mergeCell ref="T53:V53"/>
    <mergeCell ref="W53:X53"/>
    <mergeCell ref="Y53:Z53"/>
    <mergeCell ref="AA53:AB53"/>
    <mergeCell ref="AH53:AI53"/>
    <mergeCell ref="AJ53:AK53"/>
    <mergeCell ref="AL53:AN53"/>
    <mergeCell ref="AO53:AY53"/>
    <mergeCell ref="AL51:AN51"/>
    <mergeCell ref="AO51:AY51"/>
    <mergeCell ref="A52:B52"/>
    <mergeCell ref="T52:V52"/>
    <mergeCell ref="W52:X52"/>
    <mergeCell ref="Y52:Z52"/>
    <mergeCell ref="AA52:AB52"/>
    <mergeCell ref="AH52:AI52"/>
    <mergeCell ref="AJ52:AK52"/>
    <mergeCell ref="AL52:AN52"/>
    <mergeCell ref="AJ50:AK50"/>
    <mergeCell ref="AL50:AN50"/>
    <mergeCell ref="AO50:AY50"/>
    <mergeCell ref="A51:B51"/>
    <mergeCell ref="T51:V51"/>
    <mergeCell ref="W51:X51"/>
    <mergeCell ref="Y51:Z51"/>
    <mergeCell ref="AA51:AB51"/>
    <mergeCell ref="AH51:AI51"/>
    <mergeCell ref="AJ51:AK51"/>
    <mergeCell ref="A50:B50"/>
    <mergeCell ref="T50:V50"/>
    <mergeCell ref="W50:X50"/>
    <mergeCell ref="Y50:Z50"/>
    <mergeCell ref="AA50:AB50"/>
    <mergeCell ref="AH50:AI50"/>
    <mergeCell ref="AO48:AY48"/>
    <mergeCell ref="A49:B49"/>
    <mergeCell ref="T49:V49"/>
    <mergeCell ref="W49:X49"/>
    <mergeCell ref="Y49:Z49"/>
    <mergeCell ref="AA49:AB49"/>
    <mergeCell ref="AH49:AI49"/>
    <mergeCell ref="AJ49:AK49"/>
    <mergeCell ref="AL49:AN49"/>
    <mergeCell ref="AO49:AY49"/>
    <mergeCell ref="AL47:AN47"/>
    <mergeCell ref="AO47:AY47"/>
    <mergeCell ref="A48:B48"/>
    <mergeCell ref="T48:V48"/>
    <mergeCell ref="W48:X48"/>
    <mergeCell ref="Y48:Z48"/>
    <mergeCell ref="AA48:AB48"/>
    <mergeCell ref="AH48:AI48"/>
    <mergeCell ref="AJ48:AK48"/>
    <mergeCell ref="AL48:AN48"/>
    <mergeCell ref="AJ46:AK46"/>
    <mergeCell ref="AL46:AN46"/>
    <mergeCell ref="AO46:AY46"/>
    <mergeCell ref="A47:B47"/>
    <mergeCell ref="T47:V47"/>
    <mergeCell ref="W47:X47"/>
    <mergeCell ref="Y47:Z47"/>
    <mergeCell ref="AA47:AB47"/>
    <mergeCell ref="AH47:AI47"/>
    <mergeCell ref="AJ47:AK47"/>
    <mergeCell ref="A46:B46"/>
    <mergeCell ref="T46:V46"/>
    <mergeCell ref="W46:X46"/>
    <mergeCell ref="Y46:Z46"/>
    <mergeCell ref="AA46:AB46"/>
    <mergeCell ref="AH46:AI46"/>
    <mergeCell ref="AO44:AY44"/>
    <mergeCell ref="A45:B45"/>
    <mergeCell ref="T45:V45"/>
    <mergeCell ref="W45:X45"/>
    <mergeCell ref="Y45:Z45"/>
    <mergeCell ref="AA45:AB45"/>
    <mergeCell ref="AH45:AI45"/>
    <mergeCell ref="AJ45:AK45"/>
    <mergeCell ref="AL45:AN45"/>
    <mergeCell ref="AO45:AY45"/>
    <mergeCell ref="AL43:AN43"/>
    <mergeCell ref="AO43:AY43"/>
    <mergeCell ref="A44:B44"/>
    <mergeCell ref="T44:V44"/>
    <mergeCell ref="W44:X44"/>
    <mergeCell ref="Y44:Z44"/>
    <mergeCell ref="AA44:AB44"/>
    <mergeCell ref="AH44:AI44"/>
    <mergeCell ref="AJ44:AK44"/>
    <mergeCell ref="AL44:AN44"/>
    <mergeCell ref="AJ42:AK42"/>
    <mergeCell ref="AL42:AN42"/>
    <mergeCell ref="AO42:AY42"/>
    <mergeCell ref="A43:B43"/>
    <mergeCell ref="T43:V43"/>
    <mergeCell ref="W43:X43"/>
    <mergeCell ref="Y43:Z43"/>
    <mergeCell ref="AA43:AB43"/>
    <mergeCell ref="AH43:AI43"/>
    <mergeCell ref="AJ43:AK43"/>
    <mergeCell ref="A42:B42"/>
    <mergeCell ref="T42:V42"/>
    <mergeCell ref="W42:X42"/>
    <mergeCell ref="Y42:Z42"/>
    <mergeCell ref="AA42:AB42"/>
    <mergeCell ref="AH42:AI42"/>
    <mergeCell ref="AO40:AY40"/>
    <mergeCell ref="A41:B41"/>
    <mergeCell ref="T41:V41"/>
    <mergeCell ref="W41:X41"/>
    <mergeCell ref="Y41:Z41"/>
    <mergeCell ref="AA41:AB41"/>
    <mergeCell ref="AH41:AI41"/>
    <mergeCell ref="AJ41:AK41"/>
    <mergeCell ref="AL41:AN41"/>
    <mergeCell ref="AO41:AY41"/>
    <mergeCell ref="AL39:AN39"/>
    <mergeCell ref="AO39:AY39"/>
    <mergeCell ref="A40:B40"/>
    <mergeCell ref="T40:V40"/>
    <mergeCell ref="W40:X40"/>
    <mergeCell ref="Y40:Z40"/>
    <mergeCell ref="AA40:AB40"/>
    <mergeCell ref="AH40:AI40"/>
    <mergeCell ref="AJ40:AK40"/>
    <mergeCell ref="AL40:AN40"/>
    <mergeCell ref="AJ38:AK38"/>
    <mergeCell ref="AL38:AN38"/>
    <mergeCell ref="AO38:AY38"/>
    <mergeCell ref="A39:B39"/>
    <mergeCell ref="T39:V39"/>
    <mergeCell ref="W39:X39"/>
    <mergeCell ref="Y39:Z39"/>
    <mergeCell ref="AA39:AB39"/>
    <mergeCell ref="AH39:AI39"/>
    <mergeCell ref="AJ39:AK39"/>
    <mergeCell ref="A38:B38"/>
    <mergeCell ref="T38:V38"/>
    <mergeCell ref="W38:X38"/>
    <mergeCell ref="Y38:Z38"/>
    <mergeCell ref="AA38:AB38"/>
    <mergeCell ref="AH38:AI38"/>
    <mergeCell ref="AO36:AY36"/>
    <mergeCell ref="A37:B37"/>
    <mergeCell ref="T37:V37"/>
    <mergeCell ref="W37:X37"/>
    <mergeCell ref="Y37:Z37"/>
    <mergeCell ref="AA37:AB37"/>
    <mergeCell ref="AH37:AI37"/>
    <mergeCell ref="AJ37:AK37"/>
    <mergeCell ref="AL37:AN37"/>
    <mergeCell ref="AO37:AY37"/>
    <mergeCell ref="AL35:AN35"/>
    <mergeCell ref="AO35:AY35"/>
    <mergeCell ref="A36:B36"/>
    <mergeCell ref="T36:V36"/>
    <mergeCell ref="W36:X36"/>
    <mergeCell ref="Y36:Z36"/>
    <mergeCell ref="AA36:AB36"/>
    <mergeCell ref="AH36:AI36"/>
    <mergeCell ref="AJ36:AK36"/>
    <mergeCell ref="AL36:AN36"/>
    <mergeCell ref="AJ34:AK34"/>
    <mergeCell ref="AL34:AN34"/>
    <mergeCell ref="AO34:AY34"/>
    <mergeCell ref="A35:B35"/>
    <mergeCell ref="T35:V35"/>
    <mergeCell ref="W35:X35"/>
    <mergeCell ref="Y35:Z35"/>
    <mergeCell ref="AA35:AB35"/>
    <mergeCell ref="AH35:AI35"/>
    <mergeCell ref="AJ35:AK35"/>
    <mergeCell ref="A34:B34"/>
    <mergeCell ref="T34:V34"/>
    <mergeCell ref="W34:X34"/>
    <mergeCell ref="Y34:Z34"/>
    <mergeCell ref="AA34:AB34"/>
    <mergeCell ref="AH34:AI34"/>
    <mergeCell ref="AO32:AY32"/>
    <mergeCell ref="A33:B33"/>
    <mergeCell ref="T33:V33"/>
    <mergeCell ref="W33:X33"/>
    <mergeCell ref="Y33:Z33"/>
    <mergeCell ref="AA33:AB33"/>
    <mergeCell ref="AH33:AI33"/>
    <mergeCell ref="AJ33:AK33"/>
    <mergeCell ref="AL33:AN33"/>
    <mergeCell ref="AO33:AY33"/>
    <mergeCell ref="AL27:AN27"/>
    <mergeCell ref="AO27:AY27"/>
    <mergeCell ref="A32:B32"/>
    <mergeCell ref="T32:V32"/>
    <mergeCell ref="W32:X32"/>
    <mergeCell ref="Y32:Z32"/>
    <mergeCell ref="AA32:AB32"/>
    <mergeCell ref="AH32:AI32"/>
    <mergeCell ref="AJ32:AK32"/>
    <mergeCell ref="AL32:AN32"/>
    <mergeCell ref="AJ25:AK25"/>
    <mergeCell ref="AL25:AN25"/>
    <mergeCell ref="AO25:AY25"/>
    <mergeCell ref="A27:B27"/>
    <mergeCell ref="T27:V27"/>
    <mergeCell ref="W27:X27"/>
    <mergeCell ref="Y27:Z27"/>
    <mergeCell ref="AA27:AB27"/>
    <mergeCell ref="AH27:AI27"/>
    <mergeCell ref="AJ27:AK27"/>
    <mergeCell ref="A25:B25"/>
    <mergeCell ref="T25:V25"/>
    <mergeCell ref="W25:X25"/>
    <mergeCell ref="Y25:Z25"/>
    <mergeCell ref="AA25:AB25"/>
    <mergeCell ref="AH25:AI25"/>
    <mergeCell ref="AO30:AY30"/>
    <mergeCell ref="A31:B31"/>
    <mergeCell ref="T31:V31"/>
    <mergeCell ref="W31:X31"/>
    <mergeCell ref="Y31:Z31"/>
    <mergeCell ref="AA31:AB31"/>
    <mergeCell ref="AH31:AI31"/>
    <mergeCell ref="AJ31:AK31"/>
    <mergeCell ref="AL31:AN31"/>
    <mergeCell ref="AO31:AY31"/>
    <mergeCell ref="AL29:AN29"/>
    <mergeCell ref="AO29:AY29"/>
    <mergeCell ref="A30:B30"/>
    <mergeCell ref="T30:V30"/>
    <mergeCell ref="W30:X30"/>
    <mergeCell ref="Y30:Z30"/>
    <mergeCell ref="AA30:AB30"/>
    <mergeCell ref="AH30:AI30"/>
    <mergeCell ref="AJ30:AK30"/>
    <mergeCell ref="AL30:AN30"/>
    <mergeCell ref="AJ28:AK28"/>
    <mergeCell ref="AL28:AN28"/>
    <mergeCell ref="AO28:AY28"/>
    <mergeCell ref="A29:B29"/>
    <mergeCell ref="T29:V29"/>
    <mergeCell ref="W29:X29"/>
    <mergeCell ref="Y29:Z29"/>
    <mergeCell ref="AA29:AB29"/>
    <mergeCell ref="AH29:AI29"/>
    <mergeCell ref="AJ29:AK29"/>
    <mergeCell ref="A28:B28"/>
    <mergeCell ref="T28:V28"/>
    <mergeCell ref="W28:X28"/>
    <mergeCell ref="Y28:Z28"/>
    <mergeCell ref="AA28:AB28"/>
    <mergeCell ref="AH28:AI28"/>
    <mergeCell ref="AO24:AY24"/>
    <mergeCell ref="A26:B26"/>
    <mergeCell ref="T26:V26"/>
    <mergeCell ref="W26:X26"/>
    <mergeCell ref="Y26:Z26"/>
    <mergeCell ref="AA26:AB26"/>
    <mergeCell ref="AH26:AI26"/>
    <mergeCell ref="AJ26:AK26"/>
    <mergeCell ref="AL26:AN26"/>
    <mergeCell ref="AO26:AY26"/>
    <mergeCell ref="AL23:AN23"/>
    <mergeCell ref="AO23:AY23"/>
    <mergeCell ref="A24:B24"/>
    <mergeCell ref="T24:V24"/>
    <mergeCell ref="W24:X24"/>
    <mergeCell ref="Y24:Z24"/>
    <mergeCell ref="AA24:AB24"/>
    <mergeCell ref="AH24:AI24"/>
    <mergeCell ref="AJ24:AK24"/>
    <mergeCell ref="AL24:AN24"/>
    <mergeCell ref="AJ22:AK22"/>
    <mergeCell ref="AL22:AN22"/>
    <mergeCell ref="AO22:AY22"/>
    <mergeCell ref="A23:B23"/>
    <mergeCell ref="T23:V23"/>
    <mergeCell ref="W23:X23"/>
    <mergeCell ref="Y23:Z23"/>
    <mergeCell ref="AA23:AB23"/>
    <mergeCell ref="AH23:AI23"/>
    <mergeCell ref="AJ23:AK23"/>
    <mergeCell ref="A22:B22"/>
    <mergeCell ref="T22:V22"/>
    <mergeCell ref="W22:X22"/>
    <mergeCell ref="Y22:Z22"/>
    <mergeCell ref="AA22:AB22"/>
    <mergeCell ref="AH22:AI22"/>
    <mergeCell ref="Y21:Z21"/>
    <mergeCell ref="AA21:AB21"/>
    <mergeCell ref="AH21:AI21"/>
    <mergeCell ref="AJ21:AK21"/>
    <mergeCell ref="AL21:AN21"/>
    <mergeCell ref="AO21:AY21"/>
    <mergeCell ref="AA20:AB20"/>
    <mergeCell ref="AH20:AI20"/>
    <mergeCell ref="AJ20:AK20"/>
    <mergeCell ref="AL20:AN20"/>
    <mergeCell ref="AO20:AY20"/>
    <mergeCell ref="A21:B21"/>
    <mergeCell ref="L21:S21"/>
    <mergeCell ref="T21:V21"/>
    <mergeCell ref="W21:X21"/>
    <mergeCell ref="A20:B20"/>
    <mergeCell ref="L20:S20"/>
    <mergeCell ref="T20:V20"/>
    <mergeCell ref="W20:X20"/>
    <mergeCell ref="Y20:Z20"/>
    <mergeCell ref="Y19:Z19"/>
    <mergeCell ref="AA19:AB19"/>
    <mergeCell ref="AH19:AI19"/>
    <mergeCell ref="AJ19:AK19"/>
    <mergeCell ref="AL19:AN19"/>
    <mergeCell ref="AO19:AY19"/>
    <mergeCell ref="AA18:AB18"/>
    <mergeCell ref="AH18:AI18"/>
    <mergeCell ref="AJ18:AK18"/>
    <mergeCell ref="AL18:AN18"/>
    <mergeCell ref="AO18:AY18"/>
    <mergeCell ref="A19:B19"/>
    <mergeCell ref="L19:S19"/>
    <mergeCell ref="T19:V19"/>
    <mergeCell ref="W19:X19"/>
    <mergeCell ref="A18:B18"/>
    <mergeCell ref="L18:S18"/>
    <mergeCell ref="T18:V18"/>
    <mergeCell ref="W18:X18"/>
    <mergeCell ref="Y18:Z18"/>
    <mergeCell ref="Y17:Z17"/>
    <mergeCell ref="AA17:AB17"/>
    <mergeCell ref="AH17:AI17"/>
    <mergeCell ref="AJ17:AK17"/>
    <mergeCell ref="AL17:AN17"/>
    <mergeCell ref="AO17:AY17"/>
    <mergeCell ref="AA16:AB16"/>
    <mergeCell ref="AH16:AI16"/>
    <mergeCell ref="AJ16:AK16"/>
    <mergeCell ref="AL16:AN16"/>
    <mergeCell ref="AO16:AY16"/>
    <mergeCell ref="A17:B17"/>
    <mergeCell ref="L17:S17"/>
    <mergeCell ref="T17:V17"/>
    <mergeCell ref="W17:X17"/>
    <mergeCell ref="A16:B16"/>
    <mergeCell ref="L16:S16"/>
    <mergeCell ref="T16:V16"/>
    <mergeCell ref="W16:X16"/>
    <mergeCell ref="Y16:Z16"/>
    <mergeCell ref="Y15:Z15"/>
    <mergeCell ref="AA15:AB15"/>
    <mergeCell ref="AH15:AI15"/>
    <mergeCell ref="AJ15:AK15"/>
    <mergeCell ref="AL15:AN15"/>
    <mergeCell ref="AO15:AY15"/>
    <mergeCell ref="AA14:AB14"/>
    <mergeCell ref="AH14:AI14"/>
    <mergeCell ref="AJ14:AK14"/>
    <mergeCell ref="AL14:AN14"/>
    <mergeCell ref="AO14:AY14"/>
    <mergeCell ref="A15:B15"/>
    <mergeCell ref="L15:S15"/>
    <mergeCell ref="T15:V15"/>
    <mergeCell ref="W15:X15"/>
    <mergeCell ref="A14:B14"/>
    <mergeCell ref="L14:S14"/>
    <mergeCell ref="T14:V14"/>
    <mergeCell ref="W14:X14"/>
    <mergeCell ref="Y14:Z14"/>
    <mergeCell ref="Y13:Z13"/>
    <mergeCell ref="AA13:AB13"/>
    <mergeCell ref="AH13:AI13"/>
    <mergeCell ref="AJ13:AK13"/>
    <mergeCell ref="AL13:AN13"/>
    <mergeCell ref="AO13:AY13"/>
    <mergeCell ref="AA12:AB12"/>
    <mergeCell ref="AH12:AI12"/>
    <mergeCell ref="AJ12:AK12"/>
    <mergeCell ref="AL12:AN12"/>
    <mergeCell ref="AO12:AY12"/>
    <mergeCell ref="A13:B13"/>
    <mergeCell ref="L13:S13"/>
    <mergeCell ref="T13:V13"/>
    <mergeCell ref="W13:X13"/>
    <mergeCell ref="A12:B12"/>
    <mergeCell ref="L12:S12"/>
    <mergeCell ref="T12:V12"/>
    <mergeCell ref="W12:X12"/>
    <mergeCell ref="Y12:Z12"/>
    <mergeCell ref="AA10:AB10"/>
    <mergeCell ref="AC10:AG10"/>
    <mergeCell ref="AH10:AI10"/>
    <mergeCell ref="AJ10:AK11"/>
    <mergeCell ref="AL10:AN11"/>
    <mergeCell ref="AO10:AY11"/>
    <mergeCell ref="AA11:AB11"/>
    <mergeCell ref="AH11:AI11"/>
    <mergeCell ref="A10:B11"/>
    <mergeCell ref="C10:K11"/>
    <mergeCell ref="L10:S11"/>
    <mergeCell ref="T10:V11"/>
    <mergeCell ref="W10:X11"/>
    <mergeCell ref="Y10:Z11"/>
    <mergeCell ref="G7:K7"/>
    <mergeCell ref="L7:AB7"/>
    <mergeCell ref="AC7:AG7"/>
    <mergeCell ref="AH7:AY7"/>
    <mergeCell ref="G8:K8"/>
    <mergeCell ref="L8:AB8"/>
    <mergeCell ref="AC8:AG8"/>
    <mergeCell ref="AH8:AY8"/>
    <mergeCell ref="AT4:AW4"/>
    <mergeCell ref="G5:K5"/>
    <mergeCell ref="AL5:AN5"/>
    <mergeCell ref="AO5:AS5"/>
    <mergeCell ref="AT5:AW5"/>
    <mergeCell ref="A6:F8"/>
    <mergeCell ref="G6:K6"/>
    <mergeCell ref="L6:AB6"/>
    <mergeCell ref="AC6:AG6"/>
    <mergeCell ref="AH6:AY6"/>
    <mergeCell ref="AX2:AY5"/>
    <mergeCell ref="G3:K3"/>
    <mergeCell ref="AI3:AK3"/>
    <mergeCell ref="AL3:AN3"/>
    <mergeCell ref="AO3:AS3"/>
    <mergeCell ref="AT3:AW3"/>
    <mergeCell ref="G4:K4"/>
    <mergeCell ref="AI4:AK5"/>
    <mergeCell ref="AL4:AN4"/>
    <mergeCell ref="AO4:AS4"/>
    <mergeCell ref="AO1:AS1"/>
    <mergeCell ref="AT1:AW1"/>
    <mergeCell ref="AX1:AY1"/>
    <mergeCell ref="G2:K2"/>
    <mergeCell ref="AC2:AE5"/>
    <mergeCell ref="AF2:AH5"/>
    <mergeCell ref="AI2:AK2"/>
    <mergeCell ref="AL2:AN2"/>
    <mergeCell ref="AO2:AS2"/>
    <mergeCell ref="AT2:AW2"/>
    <mergeCell ref="A1:F5"/>
    <mergeCell ref="G1:K1"/>
    <mergeCell ref="AC1:AE1"/>
    <mergeCell ref="AF1:AH1"/>
    <mergeCell ref="AI1:AK1"/>
    <mergeCell ref="AL1:AN1"/>
  </mergeCells>
  <phoneticPr fontId="23"/>
  <dataValidations disablePrompts="1" count="1">
    <dataValidation type="list" allowBlank="1" showInputMessage="1" showErrorMessage="1" sqref="T54:V54 T50:T53 T12:V49" xr:uid="{A28E4E98-541D-4551-9976-16FB643C026E}">
      <formula1>型候補</formula1>
    </dataValidation>
  </dataValidations>
  <hyperlinks>
    <hyperlink ref="A1:F5" location="テーブル一覧!A1" display="テーブル一覧!A1" xr:uid="{4F42B7C4-EE5F-4D46-9BE1-DCC1AF29DD16}"/>
  </hyperlinks>
  <pageMargins left="0.70866141732283472" right="0.70866141732283472" top="0.74803149606299213" bottom="0.74803149606299213" header="0.31496062992125984" footer="0.31496062992125984"/>
  <pageSetup paperSize="9" scale="83" fitToHeight="0" orientation="landscape" horizontalDpi="4294967294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6ABFA4-0730-49A4-8AE7-413DCC0AFB3D}">
  <sheetPr codeName="Sheet47">
    <pageSetUpPr fitToPage="1"/>
  </sheetPr>
  <dimension ref="A1:AY54"/>
  <sheetViews>
    <sheetView view="pageBreakPreview" zoomScaleNormal="100" zoomScaleSheetLayoutView="100" workbookViewId="0">
      <selection activeCell="C12" sqref="C12:C24"/>
    </sheetView>
  </sheetViews>
  <sheetFormatPr defaultColWidth="3.83203125" defaultRowHeight="12"/>
  <cols>
    <col min="1" max="1" width="3.83203125" style="7" customWidth="1"/>
    <col min="2" max="3" width="3.83203125" style="8"/>
    <col min="4" max="49" width="3.83203125" style="7"/>
    <col min="50" max="50" width="4" style="7" customWidth="1"/>
    <col min="51" max="16384" width="3.83203125" style="7"/>
  </cols>
  <sheetData>
    <row r="1" spans="1:51" s="2" customFormat="1">
      <c r="A1" s="162" t="str">
        <f>L5</f>
        <v>テーブル定義書</v>
      </c>
      <c r="B1" s="163"/>
      <c r="C1" s="163"/>
      <c r="D1" s="163"/>
      <c r="E1" s="163"/>
      <c r="F1" s="164"/>
      <c r="G1" s="123" t="s">
        <v>59</v>
      </c>
      <c r="H1" s="113"/>
      <c r="I1" s="113"/>
      <c r="J1" s="113"/>
      <c r="K1" s="113"/>
      <c r="L1" s="1">
        <f>表紙!B8</f>
        <v>0</v>
      </c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24"/>
      <c r="AD1" s="124"/>
      <c r="AE1" s="124"/>
      <c r="AF1" s="124"/>
      <c r="AG1" s="124"/>
      <c r="AH1" s="124"/>
      <c r="AI1" s="113" t="s">
        <v>60</v>
      </c>
      <c r="AJ1" s="113"/>
      <c r="AK1" s="113"/>
      <c r="AL1" s="113" t="s">
        <v>61</v>
      </c>
      <c r="AM1" s="113"/>
      <c r="AN1" s="113"/>
      <c r="AO1" s="113" t="s">
        <v>62</v>
      </c>
      <c r="AP1" s="113"/>
      <c r="AQ1" s="113"/>
      <c r="AR1" s="113"/>
      <c r="AS1" s="113"/>
      <c r="AT1" s="113" t="s">
        <v>55</v>
      </c>
      <c r="AU1" s="113"/>
      <c r="AV1" s="113"/>
      <c r="AW1" s="113"/>
      <c r="AX1" s="113" t="s">
        <v>63</v>
      </c>
      <c r="AY1" s="114"/>
    </row>
    <row r="2" spans="1:51" s="2" customFormat="1">
      <c r="A2" s="165"/>
      <c r="B2" s="166"/>
      <c r="C2" s="166"/>
      <c r="D2" s="166"/>
      <c r="E2" s="166"/>
      <c r="F2" s="167"/>
      <c r="G2" s="115" t="s">
        <v>64</v>
      </c>
      <c r="H2" s="116"/>
      <c r="I2" s="116"/>
      <c r="J2" s="116"/>
      <c r="K2" s="116"/>
      <c r="L2" s="3">
        <f>表紙!M8</f>
        <v>0</v>
      </c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117"/>
      <c r="AD2" s="117"/>
      <c r="AE2" s="117"/>
      <c r="AF2" s="117"/>
      <c r="AG2" s="117"/>
      <c r="AH2" s="117"/>
      <c r="AI2" s="119" t="s">
        <v>65</v>
      </c>
      <c r="AJ2" s="119"/>
      <c r="AK2" s="119"/>
      <c r="AL2" s="120" t="s">
        <v>73</v>
      </c>
      <c r="AM2" s="120"/>
      <c r="AN2" s="120"/>
      <c r="AO2" s="121"/>
      <c r="AP2" s="121"/>
      <c r="AQ2" s="122"/>
      <c r="AR2" s="122"/>
      <c r="AS2" s="122"/>
      <c r="AT2" s="122"/>
      <c r="AU2" s="122"/>
      <c r="AV2" s="122"/>
      <c r="AW2" s="122"/>
      <c r="AX2" s="150" t="s">
        <v>74</v>
      </c>
      <c r="AY2" s="151"/>
    </row>
    <row r="3" spans="1:51" s="2" customFormat="1">
      <c r="A3" s="165"/>
      <c r="B3" s="166"/>
      <c r="C3" s="166"/>
      <c r="D3" s="166"/>
      <c r="E3" s="166"/>
      <c r="F3" s="167"/>
      <c r="G3" s="154" t="s">
        <v>66</v>
      </c>
      <c r="H3" s="119"/>
      <c r="I3" s="119"/>
      <c r="J3" s="119"/>
      <c r="K3" s="119"/>
      <c r="L3" s="4" t="s">
        <v>76</v>
      </c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117"/>
      <c r="AD3" s="117"/>
      <c r="AE3" s="117"/>
      <c r="AF3" s="117"/>
      <c r="AG3" s="117"/>
      <c r="AH3" s="117"/>
      <c r="AI3" s="155" t="s">
        <v>67</v>
      </c>
      <c r="AJ3" s="155"/>
      <c r="AK3" s="155"/>
      <c r="AL3" s="156"/>
      <c r="AM3" s="156"/>
      <c r="AN3" s="156"/>
      <c r="AO3" s="157" t="str">
        <f>IF( $AL3 &lt;&gt; "", VLOOKUP( $AL3, 表紙!$B$15:$AE$47, 5, FALSE ), "" )</f>
        <v/>
      </c>
      <c r="AP3" s="157"/>
      <c r="AQ3" s="158"/>
      <c r="AR3" s="158"/>
      <c r="AS3" s="158"/>
      <c r="AT3" s="158" t="str">
        <f>IF( $AL3 &lt;&gt; "", VLOOKUP( $AL3, 表紙!$B$15:$AE$47, 28, FALSE ), "" )</f>
        <v/>
      </c>
      <c r="AU3" s="158"/>
      <c r="AV3" s="158"/>
      <c r="AW3" s="158"/>
      <c r="AX3" s="150"/>
      <c r="AY3" s="151"/>
    </row>
    <row r="4" spans="1:51" s="2" customFormat="1">
      <c r="A4" s="165"/>
      <c r="B4" s="166"/>
      <c r="C4" s="166"/>
      <c r="D4" s="166"/>
      <c r="E4" s="166"/>
      <c r="F4" s="167"/>
      <c r="G4" s="159" t="s">
        <v>75</v>
      </c>
      <c r="H4" s="155"/>
      <c r="I4" s="155"/>
      <c r="J4" s="155"/>
      <c r="K4" s="15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117"/>
      <c r="AD4" s="117"/>
      <c r="AE4" s="117"/>
      <c r="AF4" s="117"/>
      <c r="AG4" s="117"/>
      <c r="AH4" s="117"/>
      <c r="AI4" s="155" t="s">
        <v>68</v>
      </c>
      <c r="AJ4" s="155"/>
      <c r="AK4" s="155"/>
      <c r="AL4" s="156"/>
      <c r="AM4" s="156"/>
      <c r="AN4" s="156"/>
      <c r="AO4" s="160"/>
      <c r="AP4" s="160"/>
      <c r="AQ4" s="161"/>
      <c r="AR4" s="161"/>
      <c r="AS4" s="161"/>
      <c r="AT4" s="125"/>
      <c r="AU4" s="125"/>
      <c r="AV4" s="125"/>
      <c r="AW4" s="125"/>
      <c r="AX4" s="150"/>
      <c r="AY4" s="151"/>
    </row>
    <row r="5" spans="1:51" s="2" customFormat="1" ht="12.75" thickBot="1">
      <c r="A5" s="168"/>
      <c r="B5" s="169"/>
      <c r="C5" s="169"/>
      <c r="D5" s="169"/>
      <c r="E5" s="169"/>
      <c r="F5" s="170"/>
      <c r="G5" s="126" t="s">
        <v>0</v>
      </c>
      <c r="H5" s="127"/>
      <c r="I5" s="127"/>
      <c r="J5" s="127"/>
      <c r="K5" s="127"/>
      <c r="L5" s="6" t="s">
        <v>87</v>
      </c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118"/>
      <c r="AD5" s="118"/>
      <c r="AE5" s="118"/>
      <c r="AF5" s="118"/>
      <c r="AG5" s="118"/>
      <c r="AH5" s="118"/>
      <c r="AI5" s="127"/>
      <c r="AJ5" s="127"/>
      <c r="AK5" s="127"/>
      <c r="AL5" s="128"/>
      <c r="AM5" s="128"/>
      <c r="AN5" s="128"/>
      <c r="AO5" s="129"/>
      <c r="AP5" s="129"/>
      <c r="AQ5" s="130"/>
      <c r="AR5" s="130"/>
      <c r="AS5" s="130"/>
      <c r="AT5" s="131"/>
      <c r="AU5" s="131"/>
      <c r="AV5" s="131"/>
      <c r="AW5" s="131"/>
      <c r="AX5" s="152"/>
      <c r="AY5" s="153"/>
    </row>
    <row r="6" spans="1:51" s="2" customFormat="1">
      <c r="A6" s="132" t="s">
        <v>1</v>
      </c>
      <c r="B6" s="133"/>
      <c r="C6" s="133"/>
      <c r="D6" s="133"/>
      <c r="E6" s="133"/>
      <c r="F6" s="134"/>
      <c r="G6" s="141" t="s">
        <v>10</v>
      </c>
      <c r="H6" s="142"/>
      <c r="I6" s="142"/>
      <c r="J6" s="142"/>
      <c r="K6" s="142"/>
      <c r="L6" s="143"/>
      <c r="M6" s="144"/>
      <c r="N6" s="144"/>
      <c r="O6" s="144"/>
      <c r="P6" s="144"/>
      <c r="Q6" s="144"/>
      <c r="R6" s="144"/>
      <c r="S6" s="144"/>
      <c r="T6" s="144"/>
      <c r="U6" s="144"/>
      <c r="V6" s="144"/>
      <c r="W6" s="144"/>
      <c r="X6" s="144"/>
      <c r="Y6" s="144"/>
      <c r="Z6" s="144"/>
      <c r="AA6" s="144"/>
      <c r="AB6" s="145"/>
      <c r="AC6" s="146" t="s">
        <v>14</v>
      </c>
      <c r="AD6" s="142"/>
      <c r="AE6" s="142"/>
      <c r="AF6" s="142"/>
      <c r="AG6" s="142"/>
      <c r="AH6" s="147" t="s">
        <v>79</v>
      </c>
      <c r="AI6" s="148"/>
      <c r="AJ6" s="148"/>
      <c r="AK6" s="148"/>
      <c r="AL6" s="148"/>
      <c r="AM6" s="148"/>
      <c r="AN6" s="148"/>
      <c r="AO6" s="148"/>
      <c r="AP6" s="148"/>
      <c r="AQ6" s="148"/>
      <c r="AR6" s="148"/>
      <c r="AS6" s="148"/>
      <c r="AT6" s="148"/>
      <c r="AU6" s="148"/>
      <c r="AV6" s="148"/>
      <c r="AW6" s="148"/>
      <c r="AX6" s="148"/>
      <c r="AY6" s="149"/>
    </row>
    <row r="7" spans="1:51" s="2" customFormat="1">
      <c r="A7" s="135"/>
      <c r="B7" s="136"/>
      <c r="C7" s="136"/>
      <c r="D7" s="136"/>
      <c r="E7" s="136"/>
      <c r="F7" s="137"/>
      <c r="G7" s="171" t="s">
        <v>11</v>
      </c>
      <c r="H7" s="155"/>
      <c r="I7" s="155"/>
      <c r="J7" s="155"/>
      <c r="K7" s="155"/>
      <c r="L7" s="172" t="s">
        <v>143</v>
      </c>
      <c r="M7" s="173"/>
      <c r="N7" s="173"/>
      <c r="O7" s="173"/>
      <c r="P7" s="173"/>
      <c r="Q7" s="173"/>
      <c r="R7" s="173"/>
      <c r="S7" s="173"/>
      <c r="T7" s="173"/>
      <c r="U7" s="173"/>
      <c r="V7" s="173"/>
      <c r="W7" s="173"/>
      <c r="X7" s="173"/>
      <c r="Y7" s="173"/>
      <c r="Z7" s="173"/>
      <c r="AA7" s="173"/>
      <c r="AB7" s="174"/>
      <c r="AC7" s="159" t="s">
        <v>13</v>
      </c>
      <c r="AD7" s="155"/>
      <c r="AE7" s="155"/>
      <c r="AF7" s="155"/>
      <c r="AG7" s="155"/>
      <c r="AH7" s="172" t="s">
        <v>143</v>
      </c>
      <c r="AI7" s="173"/>
      <c r="AJ7" s="173"/>
      <c r="AK7" s="173"/>
      <c r="AL7" s="173"/>
      <c r="AM7" s="173"/>
      <c r="AN7" s="173"/>
      <c r="AO7" s="173"/>
      <c r="AP7" s="173"/>
      <c r="AQ7" s="173"/>
      <c r="AR7" s="173"/>
      <c r="AS7" s="173"/>
      <c r="AT7" s="173"/>
      <c r="AU7" s="173"/>
      <c r="AV7" s="173"/>
      <c r="AW7" s="173"/>
      <c r="AX7" s="173"/>
      <c r="AY7" s="174"/>
    </row>
    <row r="8" spans="1:51" s="2" customFormat="1" ht="12.75" thickBot="1">
      <c r="A8" s="138"/>
      <c r="B8" s="139"/>
      <c r="C8" s="139"/>
      <c r="D8" s="139"/>
      <c r="E8" s="139"/>
      <c r="F8" s="140"/>
      <c r="G8" s="175" t="s">
        <v>12</v>
      </c>
      <c r="H8" s="176"/>
      <c r="I8" s="176"/>
      <c r="J8" s="176"/>
      <c r="K8" s="176"/>
      <c r="L8" s="177" t="s">
        <v>203</v>
      </c>
      <c r="M8" s="178"/>
      <c r="N8" s="178"/>
      <c r="O8" s="178"/>
      <c r="P8" s="178"/>
      <c r="Q8" s="178"/>
      <c r="R8" s="178"/>
      <c r="S8" s="178"/>
      <c r="T8" s="178"/>
      <c r="U8" s="178"/>
      <c r="V8" s="178"/>
      <c r="W8" s="178"/>
      <c r="X8" s="178"/>
      <c r="Y8" s="178"/>
      <c r="Z8" s="178"/>
      <c r="AA8" s="178"/>
      <c r="AB8" s="179"/>
      <c r="AC8" s="180" t="s">
        <v>33</v>
      </c>
      <c r="AD8" s="176"/>
      <c r="AE8" s="176"/>
      <c r="AF8" s="176"/>
      <c r="AG8" s="176"/>
      <c r="AH8" s="177" t="str">
        <f ca="1">RIGHT(CELL("filename",A1),LEN(CELL("filename",A1))-FIND("]",CELL("filename",A1)))</f>
        <v>m_商品分類</v>
      </c>
      <c r="AI8" s="178"/>
      <c r="AJ8" s="178"/>
      <c r="AK8" s="178"/>
      <c r="AL8" s="178"/>
      <c r="AM8" s="178"/>
      <c r="AN8" s="178"/>
      <c r="AO8" s="178"/>
      <c r="AP8" s="178"/>
      <c r="AQ8" s="178"/>
      <c r="AR8" s="178"/>
      <c r="AS8" s="178"/>
      <c r="AT8" s="178"/>
      <c r="AU8" s="178"/>
      <c r="AV8" s="178"/>
      <c r="AW8" s="178"/>
      <c r="AX8" s="178"/>
      <c r="AY8" s="179"/>
    </row>
    <row r="10" spans="1:51">
      <c r="A10" s="181" t="s">
        <v>15</v>
      </c>
      <c r="B10" s="181"/>
      <c r="C10" s="181" t="s">
        <v>17</v>
      </c>
      <c r="D10" s="181"/>
      <c r="E10" s="181"/>
      <c r="F10" s="181"/>
      <c r="G10" s="181"/>
      <c r="H10" s="181"/>
      <c r="I10" s="181"/>
      <c r="J10" s="181"/>
      <c r="K10" s="181"/>
      <c r="L10" s="183" t="s">
        <v>18</v>
      </c>
      <c r="M10" s="184"/>
      <c r="N10" s="184"/>
      <c r="O10" s="184"/>
      <c r="P10" s="184"/>
      <c r="Q10" s="184"/>
      <c r="R10" s="184"/>
      <c r="S10" s="185"/>
      <c r="T10" s="184" t="s">
        <v>16</v>
      </c>
      <c r="U10" s="184"/>
      <c r="V10" s="185"/>
      <c r="W10" s="181" t="s">
        <v>28</v>
      </c>
      <c r="X10" s="181"/>
      <c r="Y10" s="181" t="s">
        <v>29</v>
      </c>
      <c r="Z10" s="181"/>
      <c r="AA10" s="181" t="s">
        <v>25</v>
      </c>
      <c r="AB10" s="181"/>
      <c r="AC10" s="181" t="s">
        <v>26</v>
      </c>
      <c r="AD10" s="181"/>
      <c r="AE10" s="181"/>
      <c r="AF10" s="181"/>
      <c r="AG10" s="181"/>
      <c r="AH10" s="181" t="s">
        <v>27</v>
      </c>
      <c r="AI10" s="181"/>
      <c r="AJ10" s="182" t="s">
        <v>30</v>
      </c>
      <c r="AK10" s="181"/>
      <c r="AL10" s="181" t="s">
        <v>31</v>
      </c>
      <c r="AM10" s="181"/>
      <c r="AN10" s="181"/>
      <c r="AO10" s="181" t="s">
        <v>32</v>
      </c>
      <c r="AP10" s="181"/>
      <c r="AQ10" s="181"/>
      <c r="AR10" s="181"/>
      <c r="AS10" s="181"/>
      <c r="AT10" s="181"/>
      <c r="AU10" s="181"/>
      <c r="AV10" s="181"/>
      <c r="AW10" s="181"/>
      <c r="AX10" s="181"/>
      <c r="AY10" s="181"/>
    </row>
    <row r="11" spans="1:51">
      <c r="A11" s="181"/>
      <c r="B11" s="181"/>
      <c r="C11" s="181"/>
      <c r="D11" s="181"/>
      <c r="E11" s="181"/>
      <c r="F11" s="181"/>
      <c r="G11" s="181"/>
      <c r="H11" s="181"/>
      <c r="I11" s="181"/>
      <c r="J11" s="181"/>
      <c r="K11" s="181"/>
      <c r="L11" s="186"/>
      <c r="M11" s="187"/>
      <c r="N11" s="187"/>
      <c r="O11" s="187"/>
      <c r="P11" s="187"/>
      <c r="Q11" s="187"/>
      <c r="R11" s="187"/>
      <c r="S11" s="188"/>
      <c r="T11" s="187"/>
      <c r="U11" s="187"/>
      <c r="V11" s="188"/>
      <c r="W11" s="181"/>
      <c r="X11" s="181"/>
      <c r="Y11" s="181"/>
      <c r="Z11" s="181"/>
      <c r="AA11" s="181" t="s">
        <v>24</v>
      </c>
      <c r="AB11" s="181"/>
      <c r="AC11" s="9" t="s">
        <v>19</v>
      </c>
      <c r="AD11" s="9" t="s">
        <v>20</v>
      </c>
      <c r="AE11" s="9" t="s">
        <v>21</v>
      </c>
      <c r="AF11" s="9" t="s">
        <v>22</v>
      </c>
      <c r="AG11" s="9" t="s">
        <v>23</v>
      </c>
      <c r="AH11" s="181" t="s">
        <v>24</v>
      </c>
      <c r="AI11" s="181"/>
      <c r="AJ11" s="181"/>
      <c r="AK11" s="181"/>
      <c r="AL11" s="181"/>
      <c r="AM11" s="181"/>
      <c r="AN11" s="181"/>
      <c r="AO11" s="181"/>
      <c r="AP11" s="181"/>
      <c r="AQ11" s="181"/>
      <c r="AR11" s="181"/>
      <c r="AS11" s="181"/>
      <c r="AT11" s="181"/>
      <c r="AU11" s="181"/>
      <c r="AV11" s="181"/>
      <c r="AW11" s="181"/>
      <c r="AX11" s="181"/>
      <c r="AY11" s="181"/>
    </row>
    <row r="12" spans="1:51">
      <c r="A12" s="189">
        <f t="shared" ref="A12:A54" si="0">ROW()-11</f>
        <v>1</v>
      </c>
      <c r="B12" s="190"/>
      <c r="C12" s="61" t="s">
        <v>82</v>
      </c>
      <c r="D12" s="59"/>
      <c r="E12" s="59"/>
      <c r="F12" s="59"/>
      <c r="G12" s="59"/>
      <c r="H12" s="59"/>
      <c r="I12" s="59"/>
      <c r="J12" s="59"/>
      <c r="K12" s="60"/>
      <c r="L12" s="191" t="s">
        <v>93</v>
      </c>
      <c r="M12" s="192"/>
      <c r="N12" s="192"/>
      <c r="O12" s="192"/>
      <c r="P12" s="192"/>
      <c r="Q12" s="192"/>
      <c r="R12" s="192"/>
      <c r="S12" s="193"/>
      <c r="T12" s="194" t="s">
        <v>41</v>
      </c>
      <c r="U12" s="195"/>
      <c r="V12" s="196"/>
      <c r="W12" s="197" t="s">
        <v>43</v>
      </c>
      <c r="X12" s="198"/>
      <c r="Y12" s="197">
        <v>8</v>
      </c>
      <c r="Z12" s="198"/>
      <c r="AA12" s="197"/>
      <c r="AB12" s="198"/>
      <c r="AC12" s="47"/>
      <c r="AD12" s="22"/>
      <c r="AE12" s="22"/>
      <c r="AF12" s="22"/>
      <c r="AG12" s="49"/>
      <c r="AH12" s="197"/>
      <c r="AI12" s="198"/>
      <c r="AJ12" s="199"/>
      <c r="AK12" s="200"/>
      <c r="AL12" s="197"/>
      <c r="AM12" s="201"/>
      <c r="AN12" s="198"/>
      <c r="AO12" s="192"/>
      <c r="AP12" s="192"/>
      <c r="AQ12" s="192"/>
      <c r="AR12" s="192"/>
      <c r="AS12" s="192"/>
      <c r="AT12" s="192"/>
      <c r="AU12" s="192"/>
      <c r="AV12" s="192"/>
      <c r="AW12" s="192"/>
      <c r="AX12" s="192"/>
      <c r="AY12" s="193"/>
    </row>
    <row r="13" spans="1:51">
      <c r="A13" s="189">
        <f t="shared" si="0"/>
        <v>2</v>
      </c>
      <c r="B13" s="190"/>
      <c r="C13" s="61" t="s">
        <v>83</v>
      </c>
      <c r="D13" s="59"/>
      <c r="E13" s="59"/>
      <c r="F13" s="59"/>
      <c r="G13" s="59"/>
      <c r="H13" s="59"/>
      <c r="I13" s="59"/>
      <c r="J13" s="59"/>
      <c r="K13" s="60"/>
      <c r="L13" s="191" t="s">
        <v>94</v>
      </c>
      <c r="M13" s="192"/>
      <c r="N13" s="192"/>
      <c r="O13" s="192"/>
      <c r="P13" s="192"/>
      <c r="Q13" s="192"/>
      <c r="R13" s="192"/>
      <c r="S13" s="193"/>
      <c r="T13" s="194" t="s">
        <v>40</v>
      </c>
      <c r="U13" s="195"/>
      <c r="V13" s="196"/>
      <c r="W13" s="197">
        <v>60</v>
      </c>
      <c r="X13" s="198"/>
      <c r="Y13" s="197">
        <v>60</v>
      </c>
      <c r="Z13" s="198"/>
      <c r="AA13" s="197"/>
      <c r="AB13" s="198"/>
      <c r="AC13" s="47"/>
      <c r="AD13" s="22"/>
      <c r="AE13" s="22"/>
      <c r="AF13" s="22"/>
      <c r="AG13" s="49"/>
      <c r="AH13" s="197"/>
      <c r="AI13" s="198"/>
      <c r="AJ13" s="199"/>
      <c r="AK13" s="200"/>
      <c r="AL13" s="197"/>
      <c r="AM13" s="201"/>
      <c r="AN13" s="198"/>
      <c r="AO13" s="192"/>
      <c r="AP13" s="192"/>
      <c r="AQ13" s="192"/>
      <c r="AR13" s="192"/>
      <c r="AS13" s="192"/>
      <c r="AT13" s="192"/>
      <c r="AU13" s="192"/>
      <c r="AV13" s="192"/>
      <c r="AW13" s="192"/>
      <c r="AX13" s="192"/>
      <c r="AY13" s="193"/>
    </row>
    <row r="14" spans="1:51">
      <c r="A14" s="189">
        <f t="shared" si="0"/>
        <v>3</v>
      </c>
      <c r="B14" s="190"/>
      <c r="C14" s="61" t="s">
        <v>90</v>
      </c>
      <c r="D14" s="59"/>
      <c r="E14" s="59"/>
      <c r="F14" s="59"/>
      <c r="G14" s="59"/>
      <c r="H14" s="59"/>
      <c r="I14" s="59"/>
      <c r="J14" s="59"/>
      <c r="K14" s="60"/>
      <c r="L14" s="191" t="s">
        <v>95</v>
      </c>
      <c r="M14" s="192"/>
      <c r="N14" s="192"/>
      <c r="O14" s="192"/>
      <c r="P14" s="192"/>
      <c r="Q14" s="192"/>
      <c r="R14" s="192"/>
      <c r="S14" s="193"/>
      <c r="T14" s="194" t="s">
        <v>42</v>
      </c>
      <c r="U14" s="195"/>
      <c r="V14" s="196"/>
      <c r="W14" s="197" t="s">
        <v>91</v>
      </c>
      <c r="X14" s="198"/>
      <c r="Y14" s="197">
        <v>4</v>
      </c>
      <c r="Z14" s="198"/>
      <c r="AA14" s="197"/>
      <c r="AB14" s="198"/>
      <c r="AC14" s="47"/>
      <c r="AD14" s="22"/>
      <c r="AE14" s="22"/>
      <c r="AF14" s="22"/>
      <c r="AG14" s="49"/>
      <c r="AH14" s="197"/>
      <c r="AI14" s="198"/>
      <c r="AJ14" s="199"/>
      <c r="AK14" s="200"/>
      <c r="AL14" s="197"/>
      <c r="AM14" s="201"/>
      <c r="AN14" s="198"/>
      <c r="AO14" s="192"/>
      <c r="AP14" s="192"/>
      <c r="AQ14" s="192"/>
      <c r="AR14" s="192"/>
      <c r="AS14" s="192"/>
      <c r="AT14" s="192"/>
      <c r="AU14" s="192"/>
      <c r="AV14" s="192"/>
      <c r="AW14" s="192"/>
      <c r="AX14" s="192"/>
      <c r="AY14" s="193"/>
    </row>
    <row r="15" spans="1:51">
      <c r="A15" s="189">
        <f t="shared" si="0"/>
        <v>4</v>
      </c>
      <c r="B15" s="190"/>
      <c r="C15" s="61" t="s">
        <v>84</v>
      </c>
      <c r="D15" s="59"/>
      <c r="E15" s="59"/>
      <c r="F15" s="59"/>
      <c r="G15" s="59"/>
      <c r="H15" s="59"/>
      <c r="I15" s="59"/>
      <c r="J15" s="59"/>
      <c r="K15" s="60"/>
      <c r="L15" s="191" t="s">
        <v>96</v>
      </c>
      <c r="M15" s="192"/>
      <c r="N15" s="192"/>
      <c r="O15" s="192"/>
      <c r="P15" s="192"/>
      <c r="Q15" s="192"/>
      <c r="R15" s="192"/>
      <c r="S15" s="193"/>
      <c r="T15" s="194" t="s">
        <v>41</v>
      </c>
      <c r="U15" s="195"/>
      <c r="V15" s="196"/>
      <c r="W15" s="197" t="s">
        <v>43</v>
      </c>
      <c r="X15" s="198"/>
      <c r="Y15" s="197">
        <v>8</v>
      </c>
      <c r="Z15" s="198"/>
      <c r="AA15" s="197"/>
      <c r="AB15" s="198"/>
      <c r="AC15" s="47"/>
      <c r="AD15" s="22"/>
      <c r="AE15" s="22"/>
      <c r="AF15" s="22"/>
      <c r="AG15" s="49"/>
      <c r="AH15" s="197"/>
      <c r="AI15" s="198"/>
      <c r="AJ15" s="199"/>
      <c r="AK15" s="200"/>
      <c r="AL15" s="197"/>
      <c r="AM15" s="201"/>
      <c r="AN15" s="198"/>
      <c r="AO15" s="192"/>
      <c r="AP15" s="192"/>
      <c r="AQ15" s="192"/>
      <c r="AR15" s="192"/>
      <c r="AS15" s="192"/>
      <c r="AT15" s="192"/>
      <c r="AU15" s="192"/>
      <c r="AV15" s="192"/>
      <c r="AW15" s="192"/>
      <c r="AX15" s="192"/>
      <c r="AY15" s="193"/>
    </row>
    <row r="16" spans="1:51">
      <c r="A16" s="189">
        <f t="shared" si="0"/>
        <v>5</v>
      </c>
      <c r="B16" s="190"/>
      <c r="C16" s="61" t="s">
        <v>85</v>
      </c>
      <c r="D16" s="59"/>
      <c r="E16" s="59"/>
      <c r="F16" s="59"/>
      <c r="G16" s="59"/>
      <c r="H16" s="59"/>
      <c r="I16" s="59"/>
      <c r="J16" s="59"/>
      <c r="K16" s="60"/>
      <c r="L16" s="191" t="s">
        <v>97</v>
      </c>
      <c r="M16" s="192"/>
      <c r="N16" s="192"/>
      <c r="O16" s="192"/>
      <c r="P16" s="192"/>
      <c r="Q16" s="192"/>
      <c r="R16" s="192"/>
      <c r="S16" s="193"/>
      <c r="T16" s="194" t="s">
        <v>40</v>
      </c>
      <c r="U16" s="195"/>
      <c r="V16" s="196"/>
      <c r="W16" s="197">
        <v>60</v>
      </c>
      <c r="X16" s="198"/>
      <c r="Y16" s="197">
        <v>60</v>
      </c>
      <c r="Z16" s="198"/>
      <c r="AA16" s="197"/>
      <c r="AB16" s="198"/>
      <c r="AC16" s="47"/>
      <c r="AD16" s="22"/>
      <c r="AE16" s="22"/>
      <c r="AF16" s="22"/>
      <c r="AG16" s="49"/>
      <c r="AH16" s="197"/>
      <c r="AI16" s="198"/>
      <c r="AJ16" s="199"/>
      <c r="AK16" s="200"/>
      <c r="AL16" s="197"/>
      <c r="AM16" s="201"/>
      <c r="AN16" s="198"/>
      <c r="AO16" s="192"/>
      <c r="AP16" s="192"/>
      <c r="AQ16" s="192"/>
      <c r="AR16" s="192"/>
      <c r="AS16" s="192"/>
      <c r="AT16" s="192"/>
      <c r="AU16" s="192"/>
      <c r="AV16" s="192"/>
      <c r="AW16" s="192"/>
      <c r="AX16" s="192"/>
      <c r="AY16" s="193"/>
    </row>
    <row r="17" spans="1:51">
      <c r="A17" s="189">
        <f t="shared" si="0"/>
        <v>6</v>
      </c>
      <c r="B17" s="190"/>
      <c r="C17" s="61" t="s">
        <v>92</v>
      </c>
      <c r="D17" s="59"/>
      <c r="E17" s="59"/>
      <c r="F17" s="59"/>
      <c r="G17" s="59"/>
      <c r="H17" s="59"/>
      <c r="I17" s="59"/>
      <c r="J17" s="59"/>
      <c r="K17" s="60"/>
      <c r="L17" s="191" t="s">
        <v>98</v>
      </c>
      <c r="M17" s="192"/>
      <c r="N17" s="192"/>
      <c r="O17" s="192"/>
      <c r="P17" s="192"/>
      <c r="Q17" s="192"/>
      <c r="R17" s="192"/>
      <c r="S17" s="193"/>
      <c r="T17" s="194" t="s">
        <v>42</v>
      </c>
      <c r="U17" s="195"/>
      <c r="V17" s="196"/>
      <c r="W17" s="197" t="s">
        <v>91</v>
      </c>
      <c r="X17" s="198"/>
      <c r="Y17" s="197">
        <v>4</v>
      </c>
      <c r="Z17" s="198"/>
      <c r="AA17" s="197"/>
      <c r="AB17" s="198"/>
      <c r="AC17" s="47"/>
      <c r="AD17" s="22"/>
      <c r="AE17" s="22"/>
      <c r="AF17" s="22"/>
      <c r="AG17" s="49"/>
      <c r="AH17" s="197"/>
      <c r="AI17" s="198"/>
      <c r="AJ17" s="199"/>
      <c r="AK17" s="200"/>
      <c r="AL17" s="197"/>
      <c r="AM17" s="201"/>
      <c r="AN17" s="198"/>
      <c r="AO17" s="192"/>
      <c r="AP17" s="192"/>
      <c r="AQ17" s="192"/>
      <c r="AR17" s="192"/>
      <c r="AS17" s="192"/>
      <c r="AT17" s="192"/>
      <c r="AU17" s="192"/>
      <c r="AV17" s="192"/>
      <c r="AW17" s="192"/>
      <c r="AX17" s="192"/>
      <c r="AY17" s="193"/>
    </row>
    <row r="18" spans="1:51">
      <c r="A18" s="189">
        <f t="shared" si="0"/>
        <v>7</v>
      </c>
      <c r="B18" s="190"/>
      <c r="C18" s="61" t="s">
        <v>100</v>
      </c>
      <c r="D18" s="59"/>
      <c r="E18" s="59"/>
      <c r="F18" s="59"/>
      <c r="G18" s="59"/>
      <c r="H18" s="59"/>
      <c r="I18" s="59"/>
      <c r="J18" s="59"/>
      <c r="K18" s="60"/>
      <c r="L18" s="191" t="s">
        <v>103</v>
      </c>
      <c r="M18" s="192"/>
      <c r="N18" s="192"/>
      <c r="O18" s="192"/>
      <c r="P18" s="192"/>
      <c r="Q18" s="192"/>
      <c r="R18" s="192"/>
      <c r="S18" s="193"/>
      <c r="T18" s="194" t="s">
        <v>41</v>
      </c>
      <c r="U18" s="195"/>
      <c r="V18" s="196"/>
      <c r="W18" s="197" t="s">
        <v>43</v>
      </c>
      <c r="X18" s="198"/>
      <c r="Y18" s="197">
        <v>8</v>
      </c>
      <c r="Z18" s="198"/>
      <c r="AA18" s="197"/>
      <c r="AB18" s="198"/>
      <c r="AC18" s="47"/>
      <c r="AD18" s="22"/>
      <c r="AE18" s="22"/>
      <c r="AF18" s="22"/>
      <c r="AG18" s="49"/>
      <c r="AH18" s="197"/>
      <c r="AI18" s="198"/>
      <c r="AJ18" s="199"/>
      <c r="AK18" s="200"/>
      <c r="AL18" s="197"/>
      <c r="AM18" s="201"/>
      <c r="AN18" s="198"/>
      <c r="AO18" s="192"/>
      <c r="AP18" s="192"/>
      <c r="AQ18" s="192"/>
      <c r="AR18" s="192"/>
      <c r="AS18" s="192"/>
      <c r="AT18" s="192"/>
      <c r="AU18" s="192"/>
      <c r="AV18" s="192"/>
      <c r="AW18" s="192"/>
      <c r="AX18" s="192"/>
      <c r="AY18" s="193"/>
    </row>
    <row r="19" spans="1:51">
      <c r="A19" s="189">
        <f t="shared" si="0"/>
        <v>8</v>
      </c>
      <c r="B19" s="190"/>
      <c r="C19" s="61" t="s">
        <v>101</v>
      </c>
      <c r="D19" s="59"/>
      <c r="E19" s="59"/>
      <c r="F19" s="59"/>
      <c r="G19" s="59"/>
      <c r="H19" s="59"/>
      <c r="I19" s="59"/>
      <c r="J19" s="59"/>
      <c r="K19" s="60"/>
      <c r="L19" s="191" t="s">
        <v>104</v>
      </c>
      <c r="M19" s="192"/>
      <c r="N19" s="192"/>
      <c r="O19" s="192"/>
      <c r="P19" s="192"/>
      <c r="Q19" s="192"/>
      <c r="R19" s="192"/>
      <c r="S19" s="193"/>
      <c r="T19" s="194" t="s">
        <v>40</v>
      </c>
      <c r="U19" s="195"/>
      <c r="V19" s="196"/>
      <c r="W19" s="197">
        <v>60</v>
      </c>
      <c r="X19" s="198"/>
      <c r="Y19" s="197">
        <v>60</v>
      </c>
      <c r="Z19" s="198"/>
      <c r="AA19" s="197"/>
      <c r="AB19" s="198"/>
      <c r="AC19" s="47"/>
      <c r="AD19" s="22"/>
      <c r="AE19" s="22"/>
      <c r="AF19" s="22"/>
      <c r="AG19" s="49"/>
      <c r="AH19" s="197"/>
      <c r="AI19" s="198"/>
      <c r="AJ19" s="199"/>
      <c r="AK19" s="200"/>
      <c r="AL19" s="197"/>
      <c r="AM19" s="201"/>
      <c r="AN19" s="198"/>
      <c r="AO19" s="192"/>
      <c r="AP19" s="192"/>
      <c r="AQ19" s="192"/>
      <c r="AR19" s="192"/>
      <c r="AS19" s="192"/>
      <c r="AT19" s="192"/>
      <c r="AU19" s="192"/>
      <c r="AV19" s="192"/>
      <c r="AW19" s="192"/>
      <c r="AX19" s="192"/>
      <c r="AY19" s="193"/>
    </row>
    <row r="20" spans="1:51">
      <c r="A20" s="189">
        <f t="shared" si="0"/>
        <v>9</v>
      </c>
      <c r="B20" s="190"/>
      <c r="C20" s="61" t="s">
        <v>102</v>
      </c>
      <c r="D20" s="59"/>
      <c r="E20" s="59"/>
      <c r="F20" s="59"/>
      <c r="G20" s="59"/>
      <c r="H20" s="59"/>
      <c r="I20" s="59"/>
      <c r="J20" s="59"/>
      <c r="K20" s="60"/>
      <c r="L20" s="191" t="s">
        <v>105</v>
      </c>
      <c r="M20" s="192"/>
      <c r="N20" s="192"/>
      <c r="O20" s="192"/>
      <c r="P20" s="192"/>
      <c r="Q20" s="192"/>
      <c r="R20" s="192"/>
      <c r="S20" s="193"/>
      <c r="T20" s="194" t="s">
        <v>42</v>
      </c>
      <c r="U20" s="195"/>
      <c r="V20" s="196"/>
      <c r="W20" s="197" t="s">
        <v>91</v>
      </c>
      <c r="X20" s="198"/>
      <c r="Y20" s="197">
        <v>4</v>
      </c>
      <c r="Z20" s="198"/>
      <c r="AA20" s="197"/>
      <c r="AB20" s="198"/>
      <c r="AC20" s="47"/>
      <c r="AD20" s="22"/>
      <c r="AE20" s="22"/>
      <c r="AF20" s="22"/>
      <c r="AG20" s="49"/>
      <c r="AH20" s="197"/>
      <c r="AI20" s="198"/>
      <c r="AJ20" s="199"/>
      <c r="AK20" s="200"/>
      <c r="AL20" s="197"/>
      <c r="AM20" s="201"/>
      <c r="AN20" s="198"/>
      <c r="AO20" s="192"/>
      <c r="AP20" s="192"/>
      <c r="AQ20" s="192"/>
      <c r="AR20" s="192"/>
      <c r="AS20" s="192"/>
      <c r="AT20" s="192"/>
      <c r="AU20" s="192"/>
      <c r="AV20" s="192"/>
      <c r="AW20" s="192"/>
      <c r="AX20" s="192"/>
      <c r="AY20" s="193"/>
    </row>
    <row r="21" spans="1:51">
      <c r="A21" s="189">
        <f>ROW()-11</f>
        <v>10</v>
      </c>
      <c r="B21" s="190"/>
      <c r="C21" s="61" t="s">
        <v>86</v>
      </c>
      <c r="D21" s="59"/>
      <c r="E21" s="59"/>
      <c r="F21" s="59"/>
      <c r="G21" s="59"/>
      <c r="H21" s="59"/>
      <c r="I21" s="59"/>
      <c r="J21" s="59"/>
      <c r="K21" s="60"/>
      <c r="L21" s="191" t="s">
        <v>99</v>
      </c>
      <c r="M21" s="192"/>
      <c r="N21" s="192"/>
      <c r="O21" s="192"/>
      <c r="P21" s="192"/>
      <c r="Q21" s="192"/>
      <c r="R21" s="192"/>
      <c r="S21" s="193"/>
      <c r="T21" s="194" t="s">
        <v>42</v>
      </c>
      <c r="U21" s="195"/>
      <c r="V21" s="196"/>
      <c r="W21" s="197">
        <v>1</v>
      </c>
      <c r="X21" s="198"/>
      <c r="Y21" s="197">
        <v>1</v>
      </c>
      <c r="Z21" s="198"/>
      <c r="AA21" s="197"/>
      <c r="AB21" s="198"/>
      <c r="AC21" s="47"/>
      <c r="AD21" s="22"/>
      <c r="AE21" s="22"/>
      <c r="AF21" s="22"/>
      <c r="AG21" s="49"/>
      <c r="AH21" s="197"/>
      <c r="AI21" s="198"/>
      <c r="AJ21" s="199"/>
      <c r="AK21" s="200"/>
      <c r="AL21" s="197">
        <v>0</v>
      </c>
      <c r="AM21" s="201"/>
      <c r="AN21" s="198"/>
      <c r="AO21" s="192" t="s">
        <v>44</v>
      </c>
      <c r="AP21" s="192"/>
      <c r="AQ21" s="192"/>
      <c r="AR21" s="192"/>
      <c r="AS21" s="192"/>
      <c r="AT21" s="192"/>
      <c r="AU21" s="192"/>
      <c r="AV21" s="192"/>
      <c r="AW21" s="192"/>
      <c r="AX21" s="192"/>
      <c r="AY21" s="193"/>
    </row>
    <row r="22" spans="1:51">
      <c r="A22" s="202">
        <f t="shared" si="0"/>
        <v>11</v>
      </c>
      <c r="B22" s="204"/>
      <c r="C22" s="48" t="s">
        <v>198</v>
      </c>
      <c r="D22" s="42"/>
      <c r="E22" s="42"/>
      <c r="F22" s="42"/>
      <c r="G22" s="42"/>
      <c r="H22" s="42"/>
      <c r="I22" s="42"/>
      <c r="J22" s="42"/>
      <c r="K22" s="44"/>
      <c r="L22" s="48" t="s">
        <v>198</v>
      </c>
      <c r="M22" s="42"/>
      <c r="N22" s="42"/>
      <c r="O22" s="42"/>
      <c r="P22" s="42"/>
      <c r="Q22" s="42"/>
      <c r="R22" s="42"/>
      <c r="S22" s="44"/>
      <c r="T22" s="207" t="s">
        <v>42</v>
      </c>
      <c r="U22" s="208"/>
      <c r="V22" s="209"/>
      <c r="W22" s="220" t="s">
        <v>127</v>
      </c>
      <c r="X22" s="221"/>
      <c r="Y22" s="220">
        <v>2</v>
      </c>
      <c r="Z22" s="221"/>
      <c r="AA22" s="215">
        <v>1</v>
      </c>
      <c r="AB22" s="216"/>
      <c r="AC22" s="46"/>
      <c r="AD22" s="24"/>
      <c r="AE22" s="24"/>
      <c r="AF22" s="24"/>
      <c r="AG22" s="51"/>
      <c r="AH22" s="215"/>
      <c r="AI22" s="216"/>
      <c r="AJ22" s="212" t="s">
        <v>128</v>
      </c>
      <c r="AK22" s="213"/>
      <c r="AL22" s="215"/>
      <c r="AM22" s="217"/>
      <c r="AN22" s="216"/>
      <c r="AO22" s="205"/>
      <c r="AP22" s="205"/>
      <c r="AQ22" s="205"/>
      <c r="AR22" s="205"/>
      <c r="AS22" s="205"/>
      <c r="AT22" s="205"/>
      <c r="AU22" s="205"/>
      <c r="AV22" s="205"/>
      <c r="AW22" s="205"/>
      <c r="AX22" s="205"/>
      <c r="AY22" s="206"/>
    </row>
    <row r="23" spans="1:51">
      <c r="A23" s="202">
        <f t="shared" si="0"/>
        <v>12</v>
      </c>
      <c r="B23" s="204"/>
      <c r="C23" s="48" t="s">
        <v>204</v>
      </c>
      <c r="D23" s="42"/>
      <c r="E23" s="42"/>
      <c r="F23" s="42"/>
      <c r="G23" s="42"/>
      <c r="H23" s="42"/>
      <c r="I23" s="42"/>
      <c r="J23" s="42"/>
      <c r="K23" s="44"/>
      <c r="L23" s="48" t="s">
        <v>204</v>
      </c>
      <c r="M23" s="42"/>
      <c r="N23" s="42"/>
      <c r="O23" s="42"/>
      <c r="P23" s="42"/>
      <c r="Q23" s="42"/>
      <c r="R23" s="42"/>
      <c r="S23" s="44"/>
      <c r="T23" s="207" t="s">
        <v>40</v>
      </c>
      <c r="U23" s="208"/>
      <c r="V23" s="209"/>
      <c r="W23" s="202">
        <v>60</v>
      </c>
      <c r="X23" s="204"/>
      <c r="Y23" s="202">
        <v>60</v>
      </c>
      <c r="Z23" s="204"/>
      <c r="AA23" s="202"/>
      <c r="AB23" s="204"/>
      <c r="AC23" s="46"/>
      <c r="AD23" s="24"/>
      <c r="AE23" s="24"/>
      <c r="AF23" s="24"/>
      <c r="AG23" s="51"/>
      <c r="AH23" s="202"/>
      <c r="AI23" s="204"/>
      <c r="AJ23" s="212"/>
      <c r="AK23" s="213"/>
      <c r="AL23" s="202"/>
      <c r="AM23" s="203"/>
      <c r="AN23" s="204"/>
      <c r="AO23" s="205"/>
      <c r="AP23" s="205"/>
      <c r="AQ23" s="205"/>
      <c r="AR23" s="205"/>
      <c r="AS23" s="205"/>
      <c r="AT23" s="205"/>
      <c r="AU23" s="205"/>
      <c r="AV23" s="205"/>
      <c r="AW23" s="205"/>
      <c r="AX23" s="205"/>
      <c r="AY23" s="206"/>
    </row>
    <row r="24" spans="1:51">
      <c r="A24" s="202">
        <f t="shared" si="0"/>
        <v>13</v>
      </c>
      <c r="B24" s="204"/>
      <c r="C24" s="48" t="s">
        <v>205</v>
      </c>
      <c r="D24" s="42"/>
      <c r="E24" s="42"/>
      <c r="F24" s="42"/>
      <c r="G24" s="42"/>
      <c r="H24" s="42"/>
      <c r="I24" s="42"/>
      <c r="J24" s="42"/>
      <c r="K24" s="44"/>
      <c r="L24" s="48" t="s">
        <v>205</v>
      </c>
      <c r="M24" s="42"/>
      <c r="N24" s="42"/>
      <c r="O24" s="42"/>
      <c r="P24" s="42"/>
      <c r="Q24" s="42"/>
      <c r="R24" s="42"/>
      <c r="S24" s="44"/>
      <c r="T24" s="207" t="s">
        <v>40</v>
      </c>
      <c r="U24" s="208"/>
      <c r="V24" s="209"/>
      <c r="W24" s="202">
        <v>60</v>
      </c>
      <c r="X24" s="204"/>
      <c r="Y24" s="202">
        <v>60</v>
      </c>
      <c r="Z24" s="204"/>
      <c r="AA24" s="202"/>
      <c r="AB24" s="204"/>
      <c r="AC24" s="46"/>
      <c r="AD24" s="24"/>
      <c r="AE24" s="24"/>
      <c r="AF24" s="24"/>
      <c r="AG24" s="51"/>
      <c r="AH24" s="202"/>
      <c r="AI24" s="204"/>
      <c r="AJ24" s="100"/>
      <c r="AK24" s="102"/>
      <c r="AL24" s="202"/>
      <c r="AM24" s="203"/>
      <c r="AN24" s="204"/>
      <c r="AO24" s="205"/>
      <c r="AP24" s="205"/>
      <c r="AQ24" s="205"/>
      <c r="AR24" s="205"/>
      <c r="AS24" s="205"/>
      <c r="AT24" s="205"/>
      <c r="AU24" s="205"/>
      <c r="AV24" s="205"/>
      <c r="AW24" s="205"/>
      <c r="AX24" s="205"/>
      <c r="AY24" s="206"/>
    </row>
    <row r="25" spans="1:51">
      <c r="A25" s="202">
        <f t="shared" si="0"/>
        <v>14</v>
      </c>
      <c r="B25" s="204"/>
      <c r="C25" s="48"/>
      <c r="D25" s="42"/>
      <c r="E25" s="42"/>
      <c r="F25" s="42"/>
      <c r="G25" s="42"/>
      <c r="H25" s="42"/>
      <c r="I25" s="42"/>
      <c r="J25" s="42"/>
      <c r="K25" s="44"/>
      <c r="L25" s="48"/>
      <c r="M25" s="42"/>
      <c r="N25" s="42"/>
      <c r="O25" s="42"/>
      <c r="P25" s="42"/>
      <c r="Q25" s="42"/>
      <c r="R25" s="42"/>
      <c r="S25" s="44"/>
      <c r="T25" s="207"/>
      <c r="U25" s="208"/>
      <c r="V25" s="209"/>
      <c r="W25" s="202"/>
      <c r="X25" s="204"/>
      <c r="Y25" s="202"/>
      <c r="Z25" s="204"/>
      <c r="AA25" s="202"/>
      <c r="AB25" s="204"/>
      <c r="AC25" s="45"/>
      <c r="AD25" s="23"/>
      <c r="AE25" s="23"/>
      <c r="AF25" s="23"/>
      <c r="AG25" s="50"/>
      <c r="AH25" s="202"/>
      <c r="AI25" s="204"/>
      <c r="AJ25" s="100"/>
      <c r="AK25" s="102"/>
      <c r="AL25" s="202"/>
      <c r="AM25" s="203"/>
      <c r="AN25" s="204"/>
      <c r="AO25" s="205"/>
      <c r="AP25" s="205"/>
      <c r="AQ25" s="205"/>
      <c r="AR25" s="205"/>
      <c r="AS25" s="205"/>
      <c r="AT25" s="205"/>
      <c r="AU25" s="205"/>
      <c r="AV25" s="205"/>
      <c r="AW25" s="205"/>
      <c r="AX25" s="205"/>
      <c r="AY25" s="206"/>
    </row>
    <row r="26" spans="1:51">
      <c r="A26" s="202">
        <f t="shared" si="0"/>
        <v>15</v>
      </c>
      <c r="B26" s="204"/>
      <c r="C26" s="48"/>
      <c r="D26" s="42"/>
      <c r="E26" s="42"/>
      <c r="F26" s="42"/>
      <c r="G26" s="42"/>
      <c r="H26" s="42"/>
      <c r="I26" s="42"/>
      <c r="J26" s="42"/>
      <c r="K26" s="44"/>
      <c r="L26" s="48"/>
      <c r="M26" s="42"/>
      <c r="N26" s="42"/>
      <c r="O26" s="42"/>
      <c r="P26" s="42"/>
      <c r="Q26" s="42"/>
      <c r="R26" s="42"/>
      <c r="S26" s="44"/>
      <c r="T26" s="207"/>
      <c r="U26" s="208"/>
      <c r="V26" s="209"/>
      <c r="W26" s="202"/>
      <c r="X26" s="204"/>
      <c r="Y26" s="202"/>
      <c r="Z26" s="204"/>
      <c r="AA26" s="215"/>
      <c r="AB26" s="216"/>
      <c r="AC26" s="46"/>
      <c r="AD26" s="24"/>
      <c r="AE26" s="24"/>
      <c r="AF26" s="24"/>
      <c r="AG26" s="51"/>
      <c r="AH26" s="215"/>
      <c r="AI26" s="216"/>
      <c r="AJ26" s="100"/>
      <c r="AK26" s="102"/>
      <c r="AL26" s="215"/>
      <c r="AM26" s="217"/>
      <c r="AN26" s="216"/>
      <c r="AO26" s="205"/>
      <c r="AP26" s="205"/>
      <c r="AQ26" s="205"/>
      <c r="AR26" s="205"/>
      <c r="AS26" s="205"/>
      <c r="AT26" s="205"/>
      <c r="AU26" s="205"/>
      <c r="AV26" s="205"/>
      <c r="AW26" s="205"/>
      <c r="AX26" s="205"/>
      <c r="AY26" s="206"/>
    </row>
    <row r="27" spans="1:51">
      <c r="A27" s="218">
        <f t="shared" si="0"/>
        <v>16</v>
      </c>
      <c r="B27" s="219"/>
      <c r="C27" s="48"/>
      <c r="D27" s="42"/>
      <c r="E27" s="42"/>
      <c r="F27" s="42"/>
      <c r="G27" s="42"/>
      <c r="H27" s="42"/>
      <c r="I27" s="42"/>
      <c r="J27" s="42"/>
      <c r="K27" s="44"/>
      <c r="L27" s="48"/>
      <c r="M27" s="42"/>
      <c r="N27" s="42"/>
      <c r="O27" s="42"/>
      <c r="P27" s="42"/>
      <c r="Q27" s="42"/>
      <c r="R27" s="42"/>
      <c r="S27" s="44"/>
      <c r="T27" s="207"/>
      <c r="U27" s="208"/>
      <c r="V27" s="209"/>
      <c r="W27" s="202"/>
      <c r="X27" s="204"/>
      <c r="Y27" s="202"/>
      <c r="Z27" s="204"/>
      <c r="AA27" s="220"/>
      <c r="AB27" s="221"/>
      <c r="AC27" s="45"/>
      <c r="AD27" s="23"/>
      <c r="AE27" s="23"/>
      <c r="AF27" s="23"/>
      <c r="AG27" s="50"/>
      <c r="AH27" s="220"/>
      <c r="AI27" s="221"/>
      <c r="AJ27" s="223"/>
      <c r="AK27" s="224"/>
      <c r="AL27" s="220"/>
      <c r="AM27" s="222"/>
      <c r="AN27" s="221"/>
      <c r="AO27" s="205"/>
      <c r="AP27" s="205"/>
      <c r="AQ27" s="205"/>
      <c r="AR27" s="205"/>
      <c r="AS27" s="205"/>
      <c r="AT27" s="205"/>
      <c r="AU27" s="205"/>
      <c r="AV27" s="205"/>
      <c r="AW27" s="205"/>
      <c r="AX27" s="205"/>
      <c r="AY27" s="206"/>
    </row>
    <row r="28" spans="1:51">
      <c r="A28" s="218">
        <f t="shared" si="0"/>
        <v>17</v>
      </c>
      <c r="B28" s="219"/>
      <c r="C28" s="48"/>
      <c r="D28" s="42"/>
      <c r="E28" s="42"/>
      <c r="F28" s="42"/>
      <c r="G28" s="42"/>
      <c r="H28" s="42"/>
      <c r="I28" s="42"/>
      <c r="J28" s="42"/>
      <c r="K28" s="44"/>
      <c r="L28" s="48"/>
      <c r="M28" s="42"/>
      <c r="N28" s="42"/>
      <c r="O28" s="42"/>
      <c r="P28" s="42"/>
      <c r="Q28" s="42"/>
      <c r="R28" s="42"/>
      <c r="S28" s="44"/>
      <c r="T28" s="207"/>
      <c r="U28" s="208"/>
      <c r="V28" s="209"/>
      <c r="W28" s="202"/>
      <c r="X28" s="204"/>
      <c r="Y28" s="202"/>
      <c r="Z28" s="204"/>
      <c r="AA28" s="202"/>
      <c r="AB28" s="204"/>
      <c r="AC28" s="45"/>
      <c r="AD28" s="23"/>
      <c r="AE28" s="23"/>
      <c r="AF28" s="23"/>
      <c r="AG28" s="50"/>
      <c r="AH28" s="202"/>
      <c r="AI28" s="204"/>
      <c r="AJ28" s="100"/>
      <c r="AK28" s="102"/>
      <c r="AL28" s="202"/>
      <c r="AM28" s="203"/>
      <c r="AN28" s="204"/>
      <c r="AO28" s="205"/>
      <c r="AP28" s="205"/>
      <c r="AQ28" s="205"/>
      <c r="AR28" s="205"/>
      <c r="AS28" s="205"/>
      <c r="AT28" s="205"/>
      <c r="AU28" s="205"/>
      <c r="AV28" s="205"/>
      <c r="AW28" s="205"/>
      <c r="AX28" s="205"/>
      <c r="AY28" s="206"/>
    </row>
    <row r="29" spans="1:51">
      <c r="A29" s="218">
        <f t="shared" si="0"/>
        <v>18</v>
      </c>
      <c r="B29" s="219"/>
      <c r="C29" s="48"/>
      <c r="D29" s="42"/>
      <c r="E29" s="42"/>
      <c r="F29" s="42"/>
      <c r="G29" s="42"/>
      <c r="H29" s="42"/>
      <c r="I29" s="42"/>
      <c r="J29" s="42"/>
      <c r="K29" s="44"/>
      <c r="L29" s="48"/>
      <c r="M29" s="42"/>
      <c r="N29" s="42"/>
      <c r="O29" s="42"/>
      <c r="P29" s="42"/>
      <c r="Q29" s="42"/>
      <c r="R29" s="42"/>
      <c r="S29" s="44"/>
      <c r="T29" s="207"/>
      <c r="U29" s="208"/>
      <c r="V29" s="209"/>
      <c r="W29" s="202"/>
      <c r="X29" s="204"/>
      <c r="Y29" s="202"/>
      <c r="Z29" s="204"/>
      <c r="AA29" s="202"/>
      <c r="AB29" s="204"/>
      <c r="AC29" s="45"/>
      <c r="AD29" s="23"/>
      <c r="AE29" s="23"/>
      <c r="AF29" s="23"/>
      <c r="AG29" s="50"/>
      <c r="AH29" s="202"/>
      <c r="AI29" s="204"/>
      <c r="AJ29" s="100"/>
      <c r="AK29" s="102"/>
      <c r="AL29" s="202"/>
      <c r="AM29" s="203"/>
      <c r="AN29" s="204"/>
      <c r="AO29" s="205"/>
      <c r="AP29" s="205"/>
      <c r="AQ29" s="205"/>
      <c r="AR29" s="205"/>
      <c r="AS29" s="205"/>
      <c r="AT29" s="205"/>
      <c r="AU29" s="205"/>
      <c r="AV29" s="205"/>
      <c r="AW29" s="205"/>
      <c r="AX29" s="205"/>
      <c r="AY29" s="206"/>
    </row>
    <row r="30" spans="1:51">
      <c r="A30" s="218">
        <f t="shared" si="0"/>
        <v>19</v>
      </c>
      <c r="B30" s="219"/>
      <c r="C30" s="48"/>
      <c r="D30" s="42"/>
      <c r="E30" s="42"/>
      <c r="F30" s="42"/>
      <c r="G30" s="42"/>
      <c r="H30" s="42"/>
      <c r="I30" s="42"/>
      <c r="J30" s="42"/>
      <c r="K30" s="44"/>
      <c r="L30" s="48"/>
      <c r="M30" s="42"/>
      <c r="N30" s="42"/>
      <c r="O30" s="42"/>
      <c r="P30" s="42"/>
      <c r="Q30" s="42"/>
      <c r="R30" s="42"/>
      <c r="S30" s="44"/>
      <c r="T30" s="207"/>
      <c r="U30" s="208"/>
      <c r="V30" s="209"/>
      <c r="W30" s="202"/>
      <c r="X30" s="204"/>
      <c r="Y30" s="202"/>
      <c r="Z30" s="204"/>
      <c r="AA30" s="220"/>
      <c r="AB30" s="221"/>
      <c r="AC30" s="45"/>
      <c r="AD30" s="23"/>
      <c r="AE30" s="23"/>
      <c r="AF30" s="23"/>
      <c r="AG30" s="50"/>
      <c r="AH30" s="220"/>
      <c r="AI30" s="221"/>
      <c r="AJ30" s="223"/>
      <c r="AK30" s="224"/>
      <c r="AL30" s="220"/>
      <c r="AM30" s="222"/>
      <c r="AN30" s="221"/>
      <c r="AO30" s="205"/>
      <c r="AP30" s="205"/>
      <c r="AQ30" s="205"/>
      <c r="AR30" s="205"/>
      <c r="AS30" s="205"/>
      <c r="AT30" s="205"/>
      <c r="AU30" s="205"/>
      <c r="AV30" s="205"/>
      <c r="AW30" s="205"/>
      <c r="AX30" s="205"/>
      <c r="AY30" s="206"/>
    </row>
    <row r="31" spans="1:51">
      <c r="A31" s="218">
        <f t="shared" si="0"/>
        <v>20</v>
      </c>
      <c r="B31" s="219"/>
      <c r="C31" s="48"/>
      <c r="D31" s="42"/>
      <c r="E31" s="42"/>
      <c r="F31" s="42"/>
      <c r="G31" s="42"/>
      <c r="H31" s="42"/>
      <c r="I31" s="42"/>
      <c r="J31" s="42"/>
      <c r="K31" s="44"/>
      <c r="L31" s="48"/>
      <c r="M31" s="42"/>
      <c r="N31" s="42"/>
      <c r="O31" s="42"/>
      <c r="P31" s="42"/>
      <c r="Q31" s="42"/>
      <c r="R31" s="42"/>
      <c r="S31" s="44"/>
      <c r="T31" s="207"/>
      <c r="U31" s="208"/>
      <c r="V31" s="209"/>
      <c r="W31" s="202"/>
      <c r="X31" s="204"/>
      <c r="Y31" s="220"/>
      <c r="Z31" s="221"/>
      <c r="AA31" s="220"/>
      <c r="AB31" s="221"/>
      <c r="AC31" s="45"/>
      <c r="AD31" s="23"/>
      <c r="AE31" s="23"/>
      <c r="AF31" s="23"/>
      <c r="AG31" s="50"/>
      <c r="AH31" s="220"/>
      <c r="AI31" s="221"/>
      <c r="AJ31" s="223"/>
      <c r="AK31" s="224"/>
      <c r="AL31" s="220"/>
      <c r="AM31" s="222"/>
      <c r="AN31" s="221"/>
      <c r="AO31" s="205"/>
      <c r="AP31" s="205"/>
      <c r="AQ31" s="205"/>
      <c r="AR31" s="205"/>
      <c r="AS31" s="205"/>
      <c r="AT31" s="205"/>
      <c r="AU31" s="205"/>
      <c r="AV31" s="205"/>
      <c r="AW31" s="205"/>
      <c r="AX31" s="205"/>
      <c r="AY31" s="206"/>
    </row>
    <row r="32" spans="1:51">
      <c r="A32" s="218">
        <f t="shared" si="0"/>
        <v>21</v>
      </c>
      <c r="B32" s="219"/>
      <c r="C32" s="48"/>
      <c r="D32" s="42"/>
      <c r="E32" s="42"/>
      <c r="F32" s="42"/>
      <c r="G32" s="42"/>
      <c r="H32" s="42"/>
      <c r="I32" s="42"/>
      <c r="J32" s="42"/>
      <c r="K32" s="44"/>
      <c r="L32" s="48"/>
      <c r="M32" s="42"/>
      <c r="N32" s="42"/>
      <c r="O32" s="42"/>
      <c r="P32" s="42"/>
      <c r="Q32" s="42"/>
      <c r="R32" s="42"/>
      <c r="S32" s="44"/>
      <c r="T32" s="207"/>
      <c r="U32" s="208"/>
      <c r="V32" s="209"/>
      <c r="W32" s="202"/>
      <c r="X32" s="204"/>
      <c r="Y32" s="220"/>
      <c r="Z32" s="221"/>
      <c r="AA32" s="220"/>
      <c r="AB32" s="221"/>
      <c r="AC32" s="45"/>
      <c r="AD32" s="23"/>
      <c r="AE32" s="23"/>
      <c r="AF32" s="23"/>
      <c r="AG32" s="50"/>
      <c r="AH32" s="220"/>
      <c r="AI32" s="221"/>
      <c r="AJ32" s="223"/>
      <c r="AK32" s="224"/>
      <c r="AL32" s="220"/>
      <c r="AM32" s="222"/>
      <c r="AN32" s="221"/>
      <c r="AO32" s="205"/>
      <c r="AP32" s="205"/>
      <c r="AQ32" s="205"/>
      <c r="AR32" s="205"/>
      <c r="AS32" s="205"/>
      <c r="AT32" s="205"/>
      <c r="AU32" s="205"/>
      <c r="AV32" s="205"/>
      <c r="AW32" s="205"/>
      <c r="AX32" s="205"/>
      <c r="AY32" s="206"/>
    </row>
    <row r="33" spans="1:51">
      <c r="A33" s="218">
        <f t="shared" si="0"/>
        <v>22</v>
      </c>
      <c r="B33" s="219"/>
      <c r="C33" s="48"/>
      <c r="D33" s="42"/>
      <c r="E33" s="42"/>
      <c r="F33" s="42"/>
      <c r="G33" s="42"/>
      <c r="H33" s="42"/>
      <c r="I33" s="42"/>
      <c r="J33" s="42"/>
      <c r="K33" s="44"/>
      <c r="L33" s="48"/>
      <c r="M33" s="42"/>
      <c r="N33" s="42"/>
      <c r="O33" s="42"/>
      <c r="P33" s="42"/>
      <c r="Q33" s="42"/>
      <c r="R33" s="42"/>
      <c r="S33" s="44"/>
      <c r="T33" s="207"/>
      <c r="U33" s="208"/>
      <c r="V33" s="209"/>
      <c r="W33" s="202"/>
      <c r="X33" s="204"/>
      <c r="Y33" s="220"/>
      <c r="Z33" s="221"/>
      <c r="AA33" s="220"/>
      <c r="AB33" s="221"/>
      <c r="AC33" s="45"/>
      <c r="AD33" s="23"/>
      <c r="AE33" s="23"/>
      <c r="AF33" s="23"/>
      <c r="AG33" s="50"/>
      <c r="AH33" s="220"/>
      <c r="AI33" s="221"/>
      <c r="AJ33" s="223"/>
      <c r="AK33" s="224"/>
      <c r="AL33" s="220"/>
      <c r="AM33" s="222"/>
      <c r="AN33" s="221"/>
      <c r="AO33" s="205"/>
      <c r="AP33" s="205"/>
      <c r="AQ33" s="205"/>
      <c r="AR33" s="205"/>
      <c r="AS33" s="205"/>
      <c r="AT33" s="205"/>
      <c r="AU33" s="205"/>
      <c r="AV33" s="205"/>
      <c r="AW33" s="205"/>
      <c r="AX33" s="205"/>
      <c r="AY33" s="206"/>
    </row>
    <row r="34" spans="1:51">
      <c r="A34" s="218">
        <f t="shared" si="0"/>
        <v>23</v>
      </c>
      <c r="B34" s="219"/>
      <c r="C34" s="48"/>
      <c r="D34" s="42"/>
      <c r="E34" s="42"/>
      <c r="F34" s="42"/>
      <c r="G34" s="42"/>
      <c r="H34" s="42"/>
      <c r="I34" s="42"/>
      <c r="J34" s="42"/>
      <c r="K34" s="44"/>
      <c r="L34" s="48"/>
      <c r="M34" s="42"/>
      <c r="N34" s="42"/>
      <c r="O34" s="42"/>
      <c r="P34" s="42"/>
      <c r="Q34" s="42"/>
      <c r="R34" s="42"/>
      <c r="S34" s="44"/>
      <c r="T34" s="207"/>
      <c r="U34" s="208"/>
      <c r="V34" s="209"/>
      <c r="W34" s="202"/>
      <c r="X34" s="204"/>
      <c r="Y34" s="202"/>
      <c r="Z34" s="204"/>
      <c r="AA34" s="220"/>
      <c r="AB34" s="221"/>
      <c r="AC34" s="45"/>
      <c r="AD34" s="23"/>
      <c r="AE34" s="23"/>
      <c r="AF34" s="23"/>
      <c r="AG34" s="50"/>
      <c r="AH34" s="220"/>
      <c r="AI34" s="221"/>
      <c r="AJ34" s="223"/>
      <c r="AK34" s="224"/>
      <c r="AL34" s="220"/>
      <c r="AM34" s="222"/>
      <c r="AN34" s="221"/>
      <c r="AO34" s="205"/>
      <c r="AP34" s="205"/>
      <c r="AQ34" s="205"/>
      <c r="AR34" s="205"/>
      <c r="AS34" s="205"/>
      <c r="AT34" s="205"/>
      <c r="AU34" s="205"/>
      <c r="AV34" s="205"/>
      <c r="AW34" s="205"/>
      <c r="AX34" s="205"/>
      <c r="AY34" s="206"/>
    </row>
    <row r="35" spans="1:51">
      <c r="A35" s="218">
        <f t="shared" si="0"/>
        <v>24</v>
      </c>
      <c r="B35" s="219"/>
      <c r="C35" s="48"/>
      <c r="D35" s="42"/>
      <c r="E35" s="42"/>
      <c r="F35" s="42"/>
      <c r="G35" s="42"/>
      <c r="H35" s="42"/>
      <c r="I35" s="42"/>
      <c r="J35" s="42"/>
      <c r="K35" s="44"/>
      <c r="L35" s="48"/>
      <c r="M35" s="42"/>
      <c r="N35" s="42"/>
      <c r="O35" s="42"/>
      <c r="P35" s="42"/>
      <c r="Q35" s="42"/>
      <c r="R35" s="42"/>
      <c r="S35" s="44"/>
      <c r="T35" s="207"/>
      <c r="U35" s="208"/>
      <c r="V35" s="209"/>
      <c r="W35" s="202"/>
      <c r="X35" s="204"/>
      <c r="Y35" s="202"/>
      <c r="Z35" s="204"/>
      <c r="AA35" s="220"/>
      <c r="AB35" s="221"/>
      <c r="AC35" s="45"/>
      <c r="AD35" s="23"/>
      <c r="AE35" s="23"/>
      <c r="AF35" s="23"/>
      <c r="AG35" s="50"/>
      <c r="AH35" s="220"/>
      <c r="AI35" s="221"/>
      <c r="AJ35" s="223"/>
      <c r="AK35" s="224"/>
      <c r="AL35" s="220"/>
      <c r="AM35" s="222"/>
      <c r="AN35" s="221"/>
      <c r="AO35" s="205"/>
      <c r="AP35" s="205"/>
      <c r="AQ35" s="205"/>
      <c r="AR35" s="205"/>
      <c r="AS35" s="205"/>
      <c r="AT35" s="205"/>
      <c r="AU35" s="205"/>
      <c r="AV35" s="205"/>
      <c r="AW35" s="205"/>
      <c r="AX35" s="205"/>
      <c r="AY35" s="206"/>
    </row>
    <row r="36" spans="1:51">
      <c r="A36" s="218">
        <f t="shared" si="0"/>
        <v>25</v>
      </c>
      <c r="B36" s="219"/>
      <c r="C36" s="48"/>
      <c r="D36" s="42"/>
      <c r="E36" s="42"/>
      <c r="F36" s="42"/>
      <c r="G36" s="42"/>
      <c r="H36" s="42"/>
      <c r="I36" s="42"/>
      <c r="J36" s="42"/>
      <c r="K36" s="44"/>
      <c r="L36" s="48"/>
      <c r="M36" s="42"/>
      <c r="N36" s="42"/>
      <c r="O36" s="42"/>
      <c r="P36" s="42"/>
      <c r="Q36" s="42"/>
      <c r="R36" s="42"/>
      <c r="S36" s="44"/>
      <c r="T36" s="207"/>
      <c r="U36" s="208"/>
      <c r="V36" s="209"/>
      <c r="W36" s="202"/>
      <c r="X36" s="204"/>
      <c r="Y36" s="220"/>
      <c r="Z36" s="221"/>
      <c r="AA36" s="215"/>
      <c r="AB36" s="216"/>
      <c r="AC36" s="46"/>
      <c r="AD36" s="24"/>
      <c r="AE36" s="24"/>
      <c r="AF36" s="24"/>
      <c r="AG36" s="51"/>
      <c r="AH36" s="215"/>
      <c r="AI36" s="216"/>
      <c r="AJ36" s="212"/>
      <c r="AK36" s="213"/>
      <c r="AL36" s="215"/>
      <c r="AM36" s="217"/>
      <c r="AN36" s="216"/>
      <c r="AO36" s="205"/>
      <c r="AP36" s="205"/>
      <c r="AQ36" s="205"/>
      <c r="AR36" s="205"/>
      <c r="AS36" s="205"/>
      <c r="AT36" s="205"/>
      <c r="AU36" s="205"/>
      <c r="AV36" s="205"/>
      <c r="AW36" s="205"/>
      <c r="AX36" s="205"/>
      <c r="AY36" s="206"/>
    </row>
    <row r="37" spans="1:51">
      <c r="A37" s="202">
        <f t="shared" si="0"/>
        <v>26</v>
      </c>
      <c r="B37" s="204"/>
      <c r="C37" s="48"/>
      <c r="D37" s="42"/>
      <c r="E37" s="42"/>
      <c r="F37" s="42"/>
      <c r="G37" s="42"/>
      <c r="H37" s="42"/>
      <c r="I37" s="42"/>
      <c r="J37" s="42"/>
      <c r="K37" s="44"/>
      <c r="L37" s="48"/>
      <c r="M37" s="42"/>
      <c r="N37" s="42"/>
      <c r="O37" s="42"/>
      <c r="P37" s="42"/>
      <c r="Q37" s="42"/>
      <c r="R37" s="42"/>
      <c r="S37" s="44"/>
      <c r="T37" s="207"/>
      <c r="U37" s="208"/>
      <c r="V37" s="209"/>
      <c r="W37" s="202"/>
      <c r="X37" s="204"/>
      <c r="Y37" s="220"/>
      <c r="Z37" s="221"/>
      <c r="AA37" s="215"/>
      <c r="AB37" s="216"/>
      <c r="AC37" s="46"/>
      <c r="AD37" s="24"/>
      <c r="AE37" s="24"/>
      <c r="AF37" s="24"/>
      <c r="AG37" s="51"/>
      <c r="AH37" s="215"/>
      <c r="AI37" s="216"/>
      <c r="AJ37" s="212"/>
      <c r="AK37" s="213"/>
      <c r="AL37" s="215"/>
      <c r="AM37" s="217"/>
      <c r="AN37" s="216"/>
      <c r="AO37" s="205"/>
      <c r="AP37" s="205"/>
      <c r="AQ37" s="205"/>
      <c r="AR37" s="205"/>
      <c r="AS37" s="205"/>
      <c r="AT37" s="205"/>
      <c r="AU37" s="205"/>
      <c r="AV37" s="205"/>
      <c r="AW37" s="205"/>
      <c r="AX37" s="205"/>
      <c r="AY37" s="206"/>
    </row>
    <row r="38" spans="1:51">
      <c r="A38" s="218">
        <f t="shared" si="0"/>
        <v>27</v>
      </c>
      <c r="B38" s="219"/>
      <c r="C38" s="48"/>
      <c r="D38" s="42"/>
      <c r="E38" s="42"/>
      <c r="F38" s="42"/>
      <c r="G38" s="42"/>
      <c r="H38" s="42"/>
      <c r="I38" s="42"/>
      <c r="J38" s="42"/>
      <c r="K38" s="44"/>
      <c r="L38" s="48"/>
      <c r="M38" s="42"/>
      <c r="N38" s="42"/>
      <c r="O38" s="42"/>
      <c r="P38" s="42"/>
      <c r="Q38" s="42"/>
      <c r="R38" s="42"/>
      <c r="S38" s="44"/>
      <c r="T38" s="207"/>
      <c r="U38" s="208"/>
      <c r="V38" s="209"/>
      <c r="W38" s="202"/>
      <c r="X38" s="204"/>
      <c r="Y38" s="202"/>
      <c r="Z38" s="204"/>
      <c r="AA38" s="215"/>
      <c r="AB38" s="216"/>
      <c r="AC38" s="46"/>
      <c r="AD38" s="24"/>
      <c r="AE38" s="24"/>
      <c r="AF38" s="24"/>
      <c r="AG38" s="51"/>
      <c r="AH38" s="215"/>
      <c r="AI38" s="216"/>
      <c r="AJ38" s="212"/>
      <c r="AK38" s="213"/>
      <c r="AL38" s="215"/>
      <c r="AM38" s="217"/>
      <c r="AN38" s="216"/>
      <c r="AO38" s="205"/>
      <c r="AP38" s="205"/>
      <c r="AQ38" s="205"/>
      <c r="AR38" s="205"/>
      <c r="AS38" s="205"/>
      <c r="AT38" s="205"/>
      <c r="AU38" s="205"/>
      <c r="AV38" s="205"/>
      <c r="AW38" s="205"/>
      <c r="AX38" s="205"/>
      <c r="AY38" s="206"/>
    </row>
    <row r="39" spans="1:51">
      <c r="A39" s="202">
        <f t="shared" si="0"/>
        <v>28</v>
      </c>
      <c r="B39" s="204"/>
      <c r="C39" s="48"/>
      <c r="D39" s="42"/>
      <c r="E39" s="42"/>
      <c r="F39" s="42"/>
      <c r="G39" s="42"/>
      <c r="H39" s="42"/>
      <c r="I39" s="42"/>
      <c r="J39" s="42"/>
      <c r="K39" s="44"/>
      <c r="L39" s="48"/>
      <c r="M39" s="42"/>
      <c r="N39" s="42"/>
      <c r="O39" s="42"/>
      <c r="P39" s="42"/>
      <c r="Q39" s="42"/>
      <c r="R39" s="42"/>
      <c r="S39" s="44"/>
      <c r="T39" s="207"/>
      <c r="U39" s="208"/>
      <c r="V39" s="209"/>
      <c r="W39" s="220"/>
      <c r="X39" s="221"/>
      <c r="Y39" s="220"/>
      <c r="Z39" s="221"/>
      <c r="AA39" s="215"/>
      <c r="AB39" s="216"/>
      <c r="AC39" s="46"/>
      <c r="AD39" s="24"/>
      <c r="AE39" s="24"/>
      <c r="AF39" s="24"/>
      <c r="AG39" s="51"/>
      <c r="AH39" s="215"/>
      <c r="AI39" s="216"/>
      <c r="AJ39" s="212"/>
      <c r="AK39" s="213"/>
      <c r="AL39" s="215"/>
      <c r="AM39" s="217"/>
      <c r="AN39" s="216"/>
      <c r="AO39" s="205"/>
      <c r="AP39" s="205"/>
      <c r="AQ39" s="205"/>
      <c r="AR39" s="205"/>
      <c r="AS39" s="205"/>
      <c r="AT39" s="205"/>
      <c r="AU39" s="205"/>
      <c r="AV39" s="205"/>
      <c r="AW39" s="205"/>
      <c r="AX39" s="205"/>
      <c r="AY39" s="206"/>
    </row>
    <row r="40" spans="1:51">
      <c r="A40" s="202">
        <f t="shared" si="0"/>
        <v>29</v>
      </c>
      <c r="B40" s="204"/>
      <c r="C40" s="48"/>
      <c r="D40" s="42"/>
      <c r="E40" s="42"/>
      <c r="F40" s="42"/>
      <c r="G40" s="42"/>
      <c r="H40" s="42"/>
      <c r="I40" s="42"/>
      <c r="J40" s="42"/>
      <c r="K40" s="44"/>
      <c r="L40" s="48"/>
      <c r="M40" s="42"/>
      <c r="N40" s="42"/>
      <c r="O40" s="42"/>
      <c r="P40" s="42"/>
      <c r="Q40" s="42"/>
      <c r="R40" s="42"/>
      <c r="S40" s="44"/>
      <c r="T40" s="207"/>
      <c r="U40" s="208"/>
      <c r="V40" s="209"/>
      <c r="W40" s="220"/>
      <c r="X40" s="221"/>
      <c r="Y40" s="220"/>
      <c r="Z40" s="221"/>
      <c r="AA40" s="215"/>
      <c r="AB40" s="216"/>
      <c r="AC40" s="46"/>
      <c r="AD40" s="24"/>
      <c r="AE40" s="24"/>
      <c r="AF40" s="24"/>
      <c r="AG40" s="51"/>
      <c r="AH40" s="215"/>
      <c r="AI40" s="216"/>
      <c r="AJ40" s="212"/>
      <c r="AK40" s="213"/>
      <c r="AL40" s="215"/>
      <c r="AM40" s="217"/>
      <c r="AN40" s="216"/>
      <c r="AO40" s="205"/>
      <c r="AP40" s="205"/>
      <c r="AQ40" s="205"/>
      <c r="AR40" s="205"/>
      <c r="AS40" s="205"/>
      <c r="AT40" s="205"/>
      <c r="AU40" s="205"/>
      <c r="AV40" s="205"/>
      <c r="AW40" s="205"/>
      <c r="AX40" s="205"/>
      <c r="AY40" s="206"/>
    </row>
    <row r="41" spans="1:51">
      <c r="A41" s="218">
        <f t="shared" si="0"/>
        <v>30</v>
      </c>
      <c r="B41" s="219"/>
      <c r="C41" s="48"/>
      <c r="D41" s="42"/>
      <c r="E41" s="42"/>
      <c r="F41" s="42"/>
      <c r="G41" s="42"/>
      <c r="H41" s="42"/>
      <c r="I41" s="42"/>
      <c r="J41" s="42"/>
      <c r="K41" s="44"/>
      <c r="L41" s="48"/>
      <c r="M41" s="42"/>
      <c r="N41" s="42"/>
      <c r="O41" s="42"/>
      <c r="P41" s="42"/>
      <c r="Q41" s="42"/>
      <c r="R41" s="42"/>
      <c r="S41" s="44"/>
      <c r="T41" s="207"/>
      <c r="U41" s="208"/>
      <c r="V41" s="209"/>
      <c r="W41" s="220"/>
      <c r="X41" s="221"/>
      <c r="Y41" s="220"/>
      <c r="Z41" s="221"/>
      <c r="AA41" s="215"/>
      <c r="AB41" s="216"/>
      <c r="AC41" s="46"/>
      <c r="AD41" s="24"/>
      <c r="AE41" s="24"/>
      <c r="AF41" s="24"/>
      <c r="AG41" s="51"/>
      <c r="AH41" s="215"/>
      <c r="AI41" s="216"/>
      <c r="AJ41" s="212"/>
      <c r="AK41" s="213"/>
      <c r="AL41" s="215"/>
      <c r="AM41" s="217"/>
      <c r="AN41" s="216"/>
      <c r="AO41" s="205"/>
      <c r="AP41" s="205"/>
      <c r="AQ41" s="205"/>
      <c r="AR41" s="205"/>
      <c r="AS41" s="205"/>
      <c r="AT41" s="205"/>
      <c r="AU41" s="205"/>
      <c r="AV41" s="205"/>
      <c r="AW41" s="205"/>
      <c r="AX41" s="205"/>
      <c r="AY41" s="206"/>
    </row>
    <row r="42" spans="1:51">
      <c r="A42" s="202">
        <f t="shared" si="0"/>
        <v>31</v>
      </c>
      <c r="B42" s="204"/>
      <c r="C42" s="48"/>
      <c r="D42" s="42"/>
      <c r="E42" s="42"/>
      <c r="F42" s="42"/>
      <c r="G42" s="42"/>
      <c r="H42" s="42"/>
      <c r="I42" s="42"/>
      <c r="J42" s="42"/>
      <c r="K42" s="44"/>
      <c r="L42" s="48"/>
      <c r="M42" s="42"/>
      <c r="N42" s="42"/>
      <c r="O42" s="42"/>
      <c r="P42" s="42"/>
      <c r="Q42" s="42"/>
      <c r="R42" s="42"/>
      <c r="S42" s="44"/>
      <c r="T42" s="207"/>
      <c r="U42" s="208"/>
      <c r="V42" s="209"/>
      <c r="W42" s="220"/>
      <c r="X42" s="221"/>
      <c r="Y42" s="220"/>
      <c r="Z42" s="221"/>
      <c r="AA42" s="215"/>
      <c r="AB42" s="216"/>
      <c r="AC42" s="46"/>
      <c r="AD42" s="24"/>
      <c r="AE42" s="24"/>
      <c r="AF42" s="24"/>
      <c r="AG42" s="51"/>
      <c r="AH42" s="215"/>
      <c r="AI42" s="216"/>
      <c r="AJ42" s="212"/>
      <c r="AK42" s="213"/>
      <c r="AL42" s="215"/>
      <c r="AM42" s="217"/>
      <c r="AN42" s="216"/>
      <c r="AO42" s="205"/>
      <c r="AP42" s="205"/>
      <c r="AQ42" s="205"/>
      <c r="AR42" s="205"/>
      <c r="AS42" s="205"/>
      <c r="AT42" s="205"/>
      <c r="AU42" s="205"/>
      <c r="AV42" s="205"/>
      <c r="AW42" s="205"/>
      <c r="AX42" s="205"/>
      <c r="AY42" s="206"/>
    </row>
    <row r="43" spans="1:51">
      <c r="A43" s="202">
        <f t="shared" si="0"/>
        <v>32</v>
      </c>
      <c r="B43" s="204"/>
      <c r="C43" s="48"/>
      <c r="D43" s="42"/>
      <c r="E43" s="42"/>
      <c r="F43" s="42"/>
      <c r="G43" s="42"/>
      <c r="H43" s="42"/>
      <c r="I43" s="42"/>
      <c r="J43" s="42"/>
      <c r="K43" s="44"/>
      <c r="L43" s="48"/>
      <c r="M43" s="42"/>
      <c r="N43" s="42"/>
      <c r="O43" s="42"/>
      <c r="P43" s="42"/>
      <c r="Q43" s="42"/>
      <c r="R43" s="42"/>
      <c r="S43" s="44"/>
      <c r="T43" s="207"/>
      <c r="U43" s="208"/>
      <c r="V43" s="209"/>
      <c r="W43" s="220"/>
      <c r="X43" s="221"/>
      <c r="Y43" s="220"/>
      <c r="Z43" s="221"/>
      <c r="AA43" s="215"/>
      <c r="AB43" s="216"/>
      <c r="AC43" s="46"/>
      <c r="AD43" s="24"/>
      <c r="AE43" s="24"/>
      <c r="AF43" s="24"/>
      <c r="AG43" s="51"/>
      <c r="AH43" s="215"/>
      <c r="AI43" s="216"/>
      <c r="AJ43" s="212"/>
      <c r="AK43" s="213"/>
      <c r="AL43" s="215"/>
      <c r="AM43" s="217"/>
      <c r="AN43" s="216"/>
      <c r="AO43" s="205"/>
      <c r="AP43" s="205"/>
      <c r="AQ43" s="205"/>
      <c r="AR43" s="205"/>
      <c r="AS43" s="205"/>
      <c r="AT43" s="205"/>
      <c r="AU43" s="205"/>
      <c r="AV43" s="205"/>
      <c r="AW43" s="205"/>
      <c r="AX43" s="205"/>
      <c r="AY43" s="206"/>
    </row>
    <row r="44" spans="1:51">
      <c r="A44" s="202">
        <f t="shared" si="0"/>
        <v>33</v>
      </c>
      <c r="B44" s="204"/>
      <c r="C44" s="48"/>
      <c r="D44" s="42"/>
      <c r="E44" s="42"/>
      <c r="F44" s="42"/>
      <c r="G44" s="42"/>
      <c r="H44" s="42"/>
      <c r="I44" s="42"/>
      <c r="J44" s="42"/>
      <c r="K44" s="44"/>
      <c r="L44" s="48"/>
      <c r="M44" s="42"/>
      <c r="N44" s="42"/>
      <c r="O44" s="42"/>
      <c r="P44" s="42"/>
      <c r="Q44" s="42"/>
      <c r="R44" s="42"/>
      <c r="S44" s="44"/>
      <c r="T44" s="207"/>
      <c r="U44" s="208"/>
      <c r="V44" s="209"/>
      <c r="W44" s="220"/>
      <c r="X44" s="221"/>
      <c r="Y44" s="220"/>
      <c r="Z44" s="221"/>
      <c r="AA44" s="215"/>
      <c r="AB44" s="216"/>
      <c r="AC44" s="46"/>
      <c r="AD44" s="24"/>
      <c r="AE44" s="24"/>
      <c r="AF44" s="24"/>
      <c r="AG44" s="51"/>
      <c r="AH44" s="215"/>
      <c r="AI44" s="216"/>
      <c r="AJ44" s="212"/>
      <c r="AK44" s="213"/>
      <c r="AL44" s="215"/>
      <c r="AM44" s="217"/>
      <c r="AN44" s="216"/>
      <c r="AO44" s="205"/>
      <c r="AP44" s="205"/>
      <c r="AQ44" s="205"/>
      <c r="AR44" s="205"/>
      <c r="AS44" s="205"/>
      <c r="AT44" s="205"/>
      <c r="AU44" s="205"/>
      <c r="AV44" s="205"/>
      <c r="AW44" s="205"/>
      <c r="AX44" s="205"/>
      <c r="AY44" s="206"/>
    </row>
    <row r="45" spans="1:51">
      <c r="A45" s="202">
        <f t="shared" si="0"/>
        <v>34</v>
      </c>
      <c r="B45" s="204"/>
      <c r="C45" s="48"/>
      <c r="D45" s="42"/>
      <c r="E45" s="42"/>
      <c r="F45" s="42"/>
      <c r="G45" s="42"/>
      <c r="H45" s="42"/>
      <c r="I45" s="42"/>
      <c r="J45" s="42"/>
      <c r="K45" s="44"/>
      <c r="L45" s="48"/>
      <c r="M45" s="42"/>
      <c r="N45" s="42"/>
      <c r="O45" s="42"/>
      <c r="P45" s="42"/>
      <c r="Q45" s="42"/>
      <c r="R45" s="42"/>
      <c r="S45" s="44"/>
      <c r="T45" s="207"/>
      <c r="U45" s="208"/>
      <c r="V45" s="209"/>
      <c r="W45" s="220"/>
      <c r="X45" s="221"/>
      <c r="Y45" s="215"/>
      <c r="Z45" s="216"/>
      <c r="AA45" s="215"/>
      <c r="AB45" s="216"/>
      <c r="AC45" s="46"/>
      <c r="AD45" s="24"/>
      <c r="AE45" s="24"/>
      <c r="AF45" s="24"/>
      <c r="AG45" s="51"/>
      <c r="AH45" s="215"/>
      <c r="AI45" s="216"/>
      <c r="AJ45" s="212"/>
      <c r="AK45" s="213"/>
      <c r="AL45" s="215"/>
      <c r="AM45" s="217"/>
      <c r="AN45" s="216"/>
      <c r="AO45" s="205"/>
      <c r="AP45" s="205"/>
      <c r="AQ45" s="205"/>
      <c r="AR45" s="205"/>
      <c r="AS45" s="205"/>
      <c r="AT45" s="205"/>
      <c r="AU45" s="205"/>
      <c r="AV45" s="205"/>
      <c r="AW45" s="205"/>
      <c r="AX45" s="205"/>
      <c r="AY45" s="206"/>
    </row>
    <row r="46" spans="1:51">
      <c r="A46" s="210">
        <f t="shared" si="0"/>
        <v>35</v>
      </c>
      <c r="B46" s="211"/>
      <c r="C46" s="48"/>
      <c r="D46" s="42"/>
      <c r="E46" s="42"/>
      <c r="F46" s="42"/>
      <c r="G46" s="42"/>
      <c r="H46" s="42"/>
      <c r="I46" s="42"/>
      <c r="J46" s="42"/>
      <c r="K46" s="44"/>
      <c r="L46" s="48"/>
      <c r="M46" s="42"/>
      <c r="N46" s="42"/>
      <c r="O46" s="42"/>
      <c r="P46" s="42"/>
      <c r="Q46" s="42"/>
      <c r="R46" s="42"/>
      <c r="S46" s="44"/>
      <c r="T46" s="207"/>
      <c r="U46" s="208"/>
      <c r="V46" s="209"/>
      <c r="W46" s="220"/>
      <c r="X46" s="221"/>
      <c r="Y46" s="225"/>
      <c r="Z46" s="226"/>
      <c r="AA46" s="225"/>
      <c r="AB46" s="226"/>
      <c r="AC46" s="43"/>
      <c r="AD46" s="10"/>
      <c r="AE46" s="10"/>
      <c r="AF46" s="10"/>
      <c r="AG46" s="52"/>
      <c r="AH46" s="225"/>
      <c r="AI46" s="226"/>
      <c r="AJ46" s="227"/>
      <c r="AK46" s="228"/>
      <c r="AL46" s="225"/>
      <c r="AM46" s="229"/>
      <c r="AN46" s="226"/>
      <c r="AO46" s="230"/>
      <c r="AP46" s="230"/>
      <c r="AQ46" s="230"/>
      <c r="AR46" s="230"/>
      <c r="AS46" s="230"/>
      <c r="AT46" s="230"/>
      <c r="AU46" s="230"/>
      <c r="AV46" s="230"/>
      <c r="AW46" s="230"/>
      <c r="AX46" s="230"/>
      <c r="AY46" s="231"/>
    </row>
    <row r="47" spans="1:51">
      <c r="A47" s="210">
        <f t="shared" si="0"/>
        <v>36</v>
      </c>
      <c r="B47" s="211"/>
      <c r="C47" s="48"/>
      <c r="D47" s="42"/>
      <c r="E47" s="42"/>
      <c r="F47" s="42"/>
      <c r="G47" s="42"/>
      <c r="H47" s="42"/>
      <c r="I47" s="42"/>
      <c r="J47" s="42"/>
      <c r="K47" s="44"/>
      <c r="L47" s="48"/>
      <c r="M47" s="42"/>
      <c r="N47" s="42"/>
      <c r="O47" s="42"/>
      <c r="P47" s="42"/>
      <c r="Q47" s="42"/>
      <c r="R47" s="42"/>
      <c r="S47" s="44"/>
      <c r="T47" s="207"/>
      <c r="U47" s="208"/>
      <c r="V47" s="209"/>
      <c r="W47" s="220"/>
      <c r="X47" s="221"/>
      <c r="Y47" s="225"/>
      <c r="Z47" s="226"/>
      <c r="AA47" s="225"/>
      <c r="AB47" s="226"/>
      <c r="AC47" s="43"/>
      <c r="AD47" s="10"/>
      <c r="AE47" s="10"/>
      <c r="AF47" s="10"/>
      <c r="AG47" s="52"/>
      <c r="AH47" s="225"/>
      <c r="AI47" s="226"/>
      <c r="AJ47" s="227"/>
      <c r="AK47" s="228"/>
      <c r="AL47" s="225"/>
      <c r="AM47" s="229"/>
      <c r="AN47" s="226"/>
      <c r="AO47" s="230"/>
      <c r="AP47" s="230"/>
      <c r="AQ47" s="230"/>
      <c r="AR47" s="230"/>
      <c r="AS47" s="230"/>
      <c r="AT47" s="230"/>
      <c r="AU47" s="230"/>
      <c r="AV47" s="230"/>
      <c r="AW47" s="230"/>
      <c r="AX47" s="230"/>
      <c r="AY47" s="231"/>
    </row>
    <row r="48" spans="1:51">
      <c r="A48" s="210">
        <f t="shared" si="0"/>
        <v>37</v>
      </c>
      <c r="B48" s="211"/>
      <c r="C48" s="48"/>
      <c r="D48" s="42"/>
      <c r="E48" s="42"/>
      <c r="F48" s="42"/>
      <c r="G48" s="42"/>
      <c r="H48" s="42"/>
      <c r="I48" s="42"/>
      <c r="J48" s="42"/>
      <c r="K48" s="44"/>
      <c r="L48" s="48"/>
      <c r="M48" s="42"/>
      <c r="N48" s="42"/>
      <c r="O48" s="42"/>
      <c r="P48" s="42"/>
      <c r="Q48" s="42"/>
      <c r="R48" s="42"/>
      <c r="S48" s="44"/>
      <c r="T48" s="207"/>
      <c r="U48" s="208"/>
      <c r="V48" s="209"/>
      <c r="W48" s="220"/>
      <c r="X48" s="221"/>
      <c r="Y48" s="225"/>
      <c r="Z48" s="226"/>
      <c r="AA48" s="225"/>
      <c r="AB48" s="226"/>
      <c r="AC48" s="43"/>
      <c r="AD48" s="10"/>
      <c r="AE48" s="10"/>
      <c r="AF48" s="10"/>
      <c r="AG48" s="52"/>
      <c r="AH48" s="225"/>
      <c r="AI48" s="226"/>
      <c r="AJ48" s="227"/>
      <c r="AK48" s="228"/>
      <c r="AL48" s="225"/>
      <c r="AM48" s="229"/>
      <c r="AN48" s="226"/>
      <c r="AO48" s="230"/>
      <c r="AP48" s="230"/>
      <c r="AQ48" s="230"/>
      <c r="AR48" s="230"/>
      <c r="AS48" s="230"/>
      <c r="AT48" s="230"/>
      <c r="AU48" s="230"/>
      <c r="AV48" s="230"/>
      <c r="AW48" s="230"/>
      <c r="AX48" s="230"/>
      <c r="AY48" s="231"/>
    </row>
    <row r="49" spans="1:51">
      <c r="A49" s="210">
        <f t="shared" si="0"/>
        <v>38</v>
      </c>
      <c r="B49" s="211"/>
      <c r="C49" s="48"/>
      <c r="D49" s="42"/>
      <c r="E49" s="42"/>
      <c r="F49" s="42"/>
      <c r="G49" s="42"/>
      <c r="H49" s="42"/>
      <c r="I49" s="42"/>
      <c r="J49" s="42"/>
      <c r="K49" s="44"/>
      <c r="L49" s="48"/>
      <c r="M49" s="42"/>
      <c r="N49" s="42"/>
      <c r="O49" s="42"/>
      <c r="P49" s="42"/>
      <c r="Q49" s="42"/>
      <c r="R49" s="42"/>
      <c r="S49" s="44"/>
      <c r="T49" s="207"/>
      <c r="U49" s="208"/>
      <c r="V49" s="209"/>
      <c r="W49" s="220"/>
      <c r="X49" s="221"/>
      <c r="Y49" s="225"/>
      <c r="Z49" s="226"/>
      <c r="AA49" s="225"/>
      <c r="AB49" s="226"/>
      <c r="AC49" s="43"/>
      <c r="AD49" s="10"/>
      <c r="AE49" s="10"/>
      <c r="AF49" s="10"/>
      <c r="AG49" s="52"/>
      <c r="AH49" s="225"/>
      <c r="AI49" s="226"/>
      <c r="AJ49" s="227"/>
      <c r="AK49" s="228"/>
      <c r="AL49" s="225"/>
      <c r="AM49" s="229"/>
      <c r="AN49" s="226"/>
      <c r="AO49" s="230"/>
      <c r="AP49" s="230"/>
      <c r="AQ49" s="230"/>
      <c r="AR49" s="230"/>
      <c r="AS49" s="230"/>
      <c r="AT49" s="230"/>
      <c r="AU49" s="230"/>
      <c r="AV49" s="230"/>
      <c r="AW49" s="230"/>
      <c r="AX49" s="230"/>
      <c r="AY49" s="231"/>
    </row>
    <row r="50" spans="1:51">
      <c r="A50" s="210">
        <f t="shared" si="0"/>
        <v>39</v>
      </c>
      <c r="B50" s="211"/>
      <c r="C50" s="48"/>
      <c r="D50" s="42"/>
      <c r="E50" s="42"/>
      <c r="F50" s="42"/>
      <c r="G50" s="42"/>
      <c r="H50" s="42"/>
      <c r="I50" s="42"/>
      <c r="J50" s="42"/>
      <c r="K50" s="44"/>
      <c r="L50" s="48"/>
      <c r="M50" s="42"/>
      <c r="N50" s="42"/>
      <c r="O50" s="42"/>
      <c r="P50" s="42"/>
      <c r="Q50" s="42"/>
      <c r="R50" s="42"/>
      <c r="S50" s="44"/>
      <c r="T50" s="207"/>
      <c r="U50" s="208"/>
      <c r="V50" s="209"/>
      <c r="W50" s="220"/>
      <c r="X50" s="221"/>
      <c r="Y50" s="225"/>
      <c r="Z50" s="226"/>
      <c r="AA50" s="225"/>
      <c r="AB50" s="226"/>
      <c r="AC50" s="43"/>
      <c r="AD50" s="10"/>
      <c r="AE50" s="10"/>
      <c r="AF50" s="10"/>
      <c r="AG50" s="52"/>
      <c r="AH50" s="225"/>
      <c r="AI50" s="226"/>
      <c r="AJ50" s="227"/>
      <c r="AK50" s="228"/>
      <c r="AL50" s="225"/>
      <c r="AM50" s="229"/>
      <c r="AN50" s="226"/>
      <c r="AO50" s="230"/>
      <c r="AP50" s="230"/>
      <c r="AQ50" s="230"/>
      <c r="AR50" s="230"/>
      <c r="AS50" s="230"/>
      <c r="AT50" s="230"/>
      <c r="AU50" s="230"/>
      <c r="AV50" s="230"/>
      <c r="AW50" s="230"/>
      <c r="AX50" s="230"/>
      <c r="AY50" s="231"/>
    </row>
    <row r="51" spans="1:51">
      <c r="A51" s="210">
        <f t="shared" si="0"/>
        <v>40</v>
      </c>
      <c r="B51" s="211"/>
      <c r="C51" s="48"/>
      <c r="D51" s="42"/>
      <c r="E51" s="42"/>
      <c r="F51" s="42"/>
      <c r="G51" s="42"/>
      <c r="H51" s="42"/>
      <c r="I51" s="42"/>
      <c r="J51" s="42"/>
      <c r="K51" s="44"/>
      <c r="L51" s="48"/>
      <c r="M51" s="42"/>
      <c r="N51" s="42"/>
      <c r="O51" s="42"/>
      <c r="P51" s="42"/>
      <c r="Q51" s="42"/>
      <c r="R51" s="42"/>
      <c r="S51" s="44"/>
      <c r="T51" s="207"/>
      <c r="U51" s="208"/>
      <c r="V51" s="209"/>
      <c r="W51" s="220"/>
      <c r="X51" s="221"/>
      <c r="Y51" s="225"/>
      <c r="Z51" s="226"/>
      <c r="AA51" s="225"/>
      <c r="AB51" s="226"/>
      <c r="AC51" s="43"/>
      <c r="AD51" s="10"/>
      <c r="AE51" s="10"/>
      <c r="AF51" s="10"/>
      <c r="AG51" s="52"/>
      <c r="AH51" s="225"/>
      <c r="AI51" s="226"/>
      <c r="AJ51" s="227"/>
      <c r="AK51" s="228"/>
      <c r="AL51" s="225"/>
      <c r="AM51" s="229"/>
      <c r="AN51" s="226"/>
      <c r="AO51" s="230"/>
      <c r="AP51" s="230"/>
      <c r="AQ51" s="230"/>
      <c r="AR51" s="230"/>
      <c r="AS51" s="230"/>
      <c r="AT51" s="230"/>
      <c r="AU51" s="230"/>
      <c r="AV51" s="230"/>
      <c r="AW51" s="230"/>
      <c r="AX51" s="230"/>
      <c r="AY51" s="231"/>
    </row>
    <row r="52" spans="1:51">
      <c r="A52" s="210">
        <f t="shared" si="0"/>
        <v>41</v>
      </c>
      <c r="B52" s="211"/>
      <c r="C52" s="48"/>
      <c r="D52" s="42"/>
      <c r="E52" s="42"/>
      <c r="F52" s="42"/>
      <c r="G52" s="42"/>
      <c r="H52" s="42"/>
      <c r="I52" s="42"/>
      <c r="J52" s="42"/>
      <c r="K52" s="44"/>
      <c r="L52" s="48"/>
      <c r="M52" s="42"/>
      <c r="N52" s="42"/>
      <c r="O52" s="42"/>
      <c r="P52" s="42"/>
      <c r="Q52" s="42"/>
      <c r="R52" s="42"/>
      <c r="S52" s="44"/>
      <c r="T52" s="207"/>
      <c r="U52" s="208"/>
      <c r="V52" s="209"/>
      <c r="W52" s="225"/>
      <c r="X52" s="226"/>
      <c r="Y52" s="225"/>
      <c r="Z52" s="226"/>
      <c r="AA52" s="225"/>
      <c r="AB52" s="226"/>
      <c r="AC52" s="43"/>
      <c r="AD52" s="10"/>
      <c r="AE52" s="10"/>
      <c r="AF52" s="10"/>
      <c r="AG52" s="52"/>
      <c r="AH52" s="225"/>
      <c r="AI52" s="226"/>
      <c r="AJ52" s="227"/>
      <c r="AK52" s="228"/>
      <c r="AL52" s="225"/>
      <c r="AM52" s="229"/>
      <c r="AN52" s="226"/>
      <c r="AO52" s="230"/>
      <c r="AP52" s="230"/>
      <c r="AQ52" s="230"/>
      <c r="AR52" s="230"/>
      <c r="AS52" s="230"/>
      <c r="AT52" s="230"/>
      <c r="AU52" s="230"/>
      <c r="AV52" s="230"/>
      <c r="AW52" s="230"/>
      <c r="AX52" s="230"/>
      <c r="AY52" s="231"/>
    </row>
    <row r="53" spans="1:51">
      <c r="A53" s="210">
        <f t="shared" si="0"/>
        <v>42</v>
      </c>
      <c r="B53" s="211"/>
      <c r="C53" s="48"/>
      <c r="D53" s="42"/>
      <c r="E53" s="42"/>
      <c r="F53" s="42"/>
      <c r="G53" s="42"/>
      <c r="H53" s="42"/>
      <c r="I53" s="42"/>
      <c r="J53" s="42"/>
      <c r="K53" s="44"/>
      <c r="L53" s="48"/>
      <c r="M53" s="42"/>
      <c r="N53" s="42"/>
      <c r="O53" s="42"/>
      <c r="P53" s="42"/>
      <c r="Q53" s="42"/>
      <c r="R53" s="42"/>
      <c r="S53" s="44"/>
      <c r="T53" s="207"/>
      <c r="U53" s="208"/>
      <c r="V53" s="209"/>
      <c r="W53" s="225"/>
      <c r="X53" s="226"/>
      <c r="Y53" s="225"/>
      <c r="Z53" s="226"/>
      <c r="AA53" s="225"/>
      <c r="AB53" s="226"/>
      <c r="AC53" s="43"/>
      <c r="AD53" s="10"/>
      <c r="AE53" s="10"/>
      <c r="AF53" s="10"/>
      <c r="AG53" s="52"/>
      <c r="AH53" s="225"/>
      <c r="AI53" s="226"/>
      <c r="AJ53" s="227"/>
      <c r="AK53" s="228"/>
      <c r="AL53" s="225"/>
      <c r="AM53" s="229"/>
      <c r="AN53" s="226"/>
      <c r="AO53" s="230"/>
      <c r="AP53" s="230"/>
      <c r="AQ53" s="230"/>
      <c r="AR53" s="230"/>
      <c r="AS53" s="230"/>
      <c r="AT53" s="230"/>
      <c r="AU53" s="230"/>
      <c r="AV53" s="230"/>
      <c r="AW53" s="230"/>
      <c r="AX53" s="230"/>
      <c r="AY53" s="231"/>
    </row>
    <row r="54" spans="1:51">
      <c r="A54" s="210">
        <f t="shared" si="0"/>
        <v>43</v>
      </c>
      <c r="B54" s="211"/>
      <c r="C54" s="48"/>
      <c r="D54" s="42"/>
      <c r="E54" s="42"/>
      <c r="F54" s="42"/>
      <c r="G54" s="42"/>
      <c r="H54" s="42"/>
      <c r="I54" s="42"/>
      <c r="J54" s="42"/>
      <c r="K54" s="44"/>
      <c r="L54" s="48"/>
      <c r="M54" s="42"/>
      <c r="N54" s="42"/>
      <c r="O54" s="42"/>
      <c r="P54" s="42"/>
      <c r="Q54" s="42"/>
      <c r="R54" s="42"/>
      <c r="S54" s="44"/>
      <c r="T54" s="207"/>
      <c r="U54" s="208"/>
      <c r="V54" s="209"/>
      <c r="W54" s="225"/>
      <c r="X54" s="226"/>
      <c r="Y54" s="225"/>
      <c r="Z54" s="226"/>
      <c r="AA54" s="225"/>
      <c r="AB54" s="226"/>
      <c r="AC54" s="43"/>
      <c r="AD54" s="10"/>
      <c r="AE54" s="10"/>
      <c r="AF54" s="10"/>
      <c r="AG54" s="52"/>
      <c r="AH54" s="225"/>
      <c r="AI54" s="226"/>
      <c r="AJ54" s="227"/>
      <c r="AK54" s="228"/>
      <c r="AL54" s="225"/>
      <c r="AM54" s="229"/>
      <c r="AN54" s="226"/>
      <c r="AO54" s="230"/>
      <c r="AP54" s="230"/>
      <c r="AQ54" s="230"/>
      <c r="AR54" s="230"/>
      <c r="AS54" s="230"/>
      <c r="AT54" s="230"/>
      <c r="AU54" s="230"/>
      <c r="AV54" s="230"/>
      <c r="AW54" s="230"/>
      <c r="AX54" s="230"/>
      <c r="AY54" s="231"/>
    </row>
  </sheetData>
  <mergeCells count="455">
    <mergeCell ref="AJ54:AK54"/>
    <mergeCell ref="AL54:AN54"/>
    <mergeCell ref="AO54:AY54"/>
    <mergeCell ref="A54:B54"/>
    <mergeCell ref="T54:V54"/>
    <mergeCell ref="W54:X54"/>
    <mergeCell ref="Y54:Z54"/>
    <mergeCell ref="AA54:AB54"/>
    <mergeCell ref="AH54:AI54"/>
    <mergeCell ref="AO52:AY52"/>
    <mergeCell ref="A53:B53"/>
    <mergeCell ref="T53:V53"/>
    <mergeCell ref="W53:X53"/>
    <mergeCell ref="Y53:Z53"/>
    <mergeCell ref="AA53:AB53"/>
    <mergeCell ref="AH53:AI53"/>
    <mergeCell ref="AJ53:AK53"/>
    <mergeCell ref="AL53:AN53"/>
    <mergeCell ref="AO53:AY53"/>
    <mergeCell ref="AL51:AN51"/>
    <mergeCell ref="AO51:AY51"/>
    <mergeCell ref="A52:B52"/>
    <mergeCell ref="T52:V52"/>
    <mergeCell ref="W52:X52"/>
    <mergeCell ref="Y52:Z52"/>
    <mergeCell ref="AA52:AB52"/>
    <mergeCell ref="AH52:AI52"/>
    <mergeCell ref="AJ52:AK52"/>
    <mergeCell ref="AL52:AN52"/>
    <mergeCell ref="AJ50:AK50"/>
    <mergeCell ref="AL50:AN50"/>
    <mergeCell ref="AO50:AY50"/>
    <mergeCell ref="A51:B51"/>
    <mergeCell ref="T51:V51"/>
    <mergeCell ref="W51:X51"/>
    <mergeCell ref="Y51:Z51"/>
    <mergeCell ref="AA51:AB51"/>
    <mergeCell ref="AH51:AI51"/>
    <mergeCell ref="AJ51:AK51"/>
    <mergeCell ref="A50:B50"/>
    <mergeCell ref="T50:V50"/>
    <mergeCell ref="W50:X50"/>
    <mergeCell ref="Y50:Z50"/>
    <mergeCell ref="AA50:AB50"/>
    <mergeCell ref="AH50:AI50"/>
    <mergeCell ref="AO48:AY48"/>
    <mergeCell ref="A49:B49"/>
    <mergeCell ref="T49:V49"/>
    <mergeCell ref="W49:X49"/>
    <mergeCell ref="Y49:Z49"/>
    <mergeCell ref="AA49:AB49"/>
    <mergeCell ref="AH49:AI49"/>
    <mergeCell ref="AJ49:AK49"/>
    <mergeCell ref="AL49:AN49"/>
    <mergeCell ref="AO49:AY49"/>
    <mergeCell ref="AL47:AN47"/>
    <mergeCell ref="AO47:AY47"/>
    <mergeCell ref="A48:B48"/>
    <mergeCell ref="T48:V48"/>
    <mergeCell ref="W48:X48"/>
    <mergeCell ref="Y48:Z48"/>
    <mergeCell ref="AA48:AB48"/>
    <mergeCell ref="AH48:AI48"/>
    <mergeCell ref="AJ48:AK48"/>
    <mergeCell ref="AL48:AN48"/>
    <mergeCell ref="AJ46:AK46"/>
    <mergeCell ref="AL46:AN46"/>
    <mergeCell ref="AO46:AY46"/>
    <mergeCell ref="A47:B47"/>
    <mergeCell ref="T47:V47"/>
    <mergeCell ref="W47:X47"/>
    <mergeCell ref="Y47:Z47"/>
    <mergeCell ref="AA47:AB47"/>
    <mergeCell ref="AH47:AI47"/>
    <mergeCell ref="AJ47:AK47"/>
    <mergeCell ref="A46:B46"/>
    <mergeCell ref="T46:V46"/>
    <mergeCell ref="W46:X46"/>
    <mergeCell ref="Y46:Z46"/>
    <mergeCell ref="AA46:AB46"/>
    <mergeCell ref="AH46:AI46"/>
    <mergeCell ref="AO44:AY44"/>
    <mergeCell ref="A45:B45"/>
    <mergeCell ref="T45:V45"/>
    <mergeCell ref="W45:X45"/>
    <mergeCell ref="Y45:Z45"/>
    <mergeCell ref="AA45:AB45"/>
    <mergeCell ref="AH45:AI45"/>
    <mergeCell ref="AJ45:AK45"/>
    <mergeCell ref="AL45:AN45"/>
    <mergeCell ref="AO45:AY45"/>
    <mergeCell ref="AL43:AN43"/>
    <mergeCell ref="AO43:AY43"/>
    <mergeCell ref="A44:B44"/>
    <mergeCell ref="T44:V44"/>
    <mergeCell ref="W44:X44"/>
    <mergeCell ref="Y44:Z44"/>
    <mergeCell ref="AA44:AB44"/>
    <mergeCell ref="AH44:AI44"/>
    <mergeCell ref="AJ44:AK44"/>
    <mergeCell ref="AL44:AN44"/>
    <mergeCell ref="AJ42:AK42"/>
    <mergeCell ref="AL42:AN42"/>
    <mergeCell ref="AO42:AY42"/>
    <mergeCell ref="A43:B43"/>
    <mergeCell ref="T43:V43"/>
    <mergeCell ref="W43:X43"/>
    <mergeCell ref="Y43:Z43"/>
    <mergeCell ref="AA43:AB43"/>
    <mergeCell ref="AH43:AI43"/>
    <mergeCell ref="AJ43:AK43"/>
    <mergeCell ref="A42:B42"/>
    <mergeCell ref="T42:V42"/>
    <mergeCell ref="W42:X42"/>
    <mergeCell ref="Y42:Z42"/>
    <mergeCell ref="AA42:AB42"/>
    <mergeCell ref="AH42:AI42"/>
    <mergeCell ref="AO40:AY40"/>
    <mergeCell ref="A41:B41"/>
    <mergeCell ref="T41:V41"/>
    <mergeCell ref="W41:X41"/>
    <mergeCell ref="Y41:Z41"/>
    <mergeCell ref="AA41:AB41"/>
    <mergeCell ref="AH41:AI41"/>
    <mergeCell ref="AJ41:AK41"/>
    <mergeCell ref="AL41:AN41"/>
    <mergeCell ref="AO41:AY41"/>
    <mergeCell ref="AL39:AN39"/>
    <mergeCell ref="AO39:AY39"/>
    <mergeCell ref="A40:B40"/>
    <mergeCell ref="T40:V40"/>
    <mergeCell ref="W40:X40"/>
    <mergeCell ref="Y40:Z40"/>
    <mergeCell ref="AA40:AB40"/>
    <mergeCell ref="AH40:AI40"/>
    <mergeCell ref="AJ40:AK40"/>
    <mergeCell ref="AL40:AN40"/>
    <mergeCell ref="AJ38:AK38"/>
    <mergeCell ref="AL38:AN38"/>
    <mergeCell ref="AO38:AY38"/>
    <mergeCell ref="A39:B39"/>
    <mergeCell ref="T39:V39"/>
    <mergeCell ref="W39:X39"/>
    <mergeCell ref="Y39:Z39"/>
    <mergeCell ref="AA39:AB39"/>
    <mergeCell ref="AH39:AI39"/>
    <mergeCell ref="AJ39:AK39"/>
    <mergeCell ref="A38:B38"/>
    <mergeCell ref="T38:V38"/>
    <mergeCell ref="W38:X38"/>
    <mergeCell ref="Y38:Z38"/>
    <mergeCell ref="AA38:AB38"/>
    <mergeCell ref="AH38:AI38"/>
    <mergeCell ref="AO36:AY36"/>
    <mergeCell ref="A37:B37"/>
    <mergeCell ref="T37:V37"/>
    <mergeCell ref="W37:X37"/>
    <mergeCell ref="Y37:Z37"/>
    <mergeCell ref="AA37:AB37"/>
    <mergeCell ref="AH37:AI37"/>
    <mergeCell ref="AJ37:AK37"/>
    <mergeCell ref="AL37:AN37"/>
    <mergeCell ref="AO37:AY37"/>
    <mergeCell ref="AL35:AN35"/>
    <mergeCell ref="AO35:AY35"/>
    <mergeCell ref="A36:B36"/>
    <mergeCell ref="T36:V36"/>
    <mergeCell ref="W36:X36"/>
    <mergeCell ref="Y36:Z36"/>
    <mergeCell ref="AA36:AB36"/>
    <mergeCell ref="AH36:AI36"/>
    <mergeCell ref="AJ36:AK36"/>
    <mergeCell ref="AL36:AN36"/>
    <mergeCell ref="AJ34:AK34"/>
    <mergeCell ref="AL34:AN34"/>
    <mergeCell ref="AO34:AY34"/>
    <mergeCell ref="A35:B35"/>
    <mergeCell ref="T35:V35"/>
    <mergeCell ref="W35:X35"/>
    <mergeCell ref="Y35:Z35"/>
    <mergeCell ref="AA35:AB35"/>
    <mergeCell ref="AH35:AI35"/>
    <mergeCell ref="AJ35:AK35"/>
    <mergeCell ref="A34:B34"/>
    <mergeCell ref="T34:V34"/>
    <mergeCell ref="W34:X34"/>
    <mergeCell ref="Y34:Z34"/>
    <mergeCell ref="AA34:AB34"/>
    <mergeCell ref="AH34:AI34"/>
    <mergeCell ref="AO32:AY32"/>
    <mergeCell ref="A33:B33"/>
    <mergeCell ref="T33:V33"/>
    <mergeCell ref="W33:X33"/>
    <mergeCell ref="Y33:Z33"/>
    <mergeCell ref="AA33:AB33"/>
    <mergeCell ref="AH33:AI33"/>
    <mergeCell ref="AJ33:AK33"/>
    <mergeCell ref="AL33:AN33"/>
    <mergeCell ref="AO33:AY33"/>
    <mergeCell ref="AL31:AN31"/>
    <mergeCell ref="AO31:AY31"/>
    <mergeCell ref="A32:B32"/>
    <mergeCell ref="T32:V32"/>
    <mergeCell ref="W32:X32"/>
    <mergeCell ref="Y32:Z32"/>
    <mergeCell ref="AA32:AB32"/>
    <mergeCell ref="AH32:AI32"/>
    <mergeCell ref="AJ32:AK32"/>
    <mergeCell ref="AL32:AN32"/>
    <mergeCell ref="AJ30:AK30"/>
    <mergeCell ref="AL30:AN30"/>
    <mergeCell ref="AO30:AY30"/>
    <mergeCell ref="A31:B31"/>
    <mergeCell ref="T31:V31"/>
    <mergeCell ref="W31:X31"/>
    <mergeCell ref="Y31:Z31"/>
    <mergeCell ref="AA31:AB31"/>
    <mergeCell ref="AH31:AI31"/>
    <mergeCell ref="AJ31:AK31"/>
    <mergeCell ref="A30:B30"/>
    <mergeCell ref="T30:V30"/>
    <mergeCell ref="W30:X30"/>
    <mergeCell ref="Y30:Z30"/>
    <mergeCell ref="AA30:AB30"/>
    <mergeCell ref="AH30:AI30"/>
    <mergeCell ref="AO28:AY28"/>
    <mergeCell ref="A29:B29"/>
    <mergeCell ref="T29:V29"/>
    <mergeCell ref="W29:X29"/>
    <mergeCell ref="Y29:Z29"/>
    <mergeCell ref="AA29:AB29"/>
    <mergeCell ref="AH29:AI29"/>
    <mergeCell ref="AJ29:AK29"/>
    <mergeCell ref="AL29:AN29"/>
    <mergeCell ref="AO29:AY29"/>
    <mergeCell ref="AL27:AN27"/>
    <mergeCell ref="AO27:AY27"/>
    <mergeCell ref="A28:B28"/>
    <mergeCell ref="T28:V28"/>
    <mergeCell ref="W28:X28"/>
    <mergeCell ref="Y28:Z28"/>
    <mergeCell ref="AA28:AB28"/>
    <mergeCell ref="AH28:AI28"/>
    <mergeCell ref="AJ28:AK28"/>
    <mergeCell ref="AL28:AN28"/>
    <mergeCell ref="AJ26:AK26"/>
    <mergeCell ref="AL26:AN26"/>
    <mergeCell ref="AO26:AY26"/>
    <mergeCell ref="A27:B27"/>
    <mergeCell ref="T27:V27"/>
    <mergeCell ref="W27:X27"/>
    <mergeCell ref="Y27:Z27"/>
    <mergeCell ref="AA27:AB27"/>
    <mergeCell ref="AH27:AI27"/>
    <mergeCell ref="AJ27:AK27"/>
    <mergeCell ref="A26:B26"/>
    <mergeCell ref="T26:V26"/>
    <mergeCell ref="W26:X26"/>
    <mergeCell ref="Y26:Z26"/>
    <mergeCell ref="AA26:AB26"/>
    <mergeCell ref="AH26:AI26"/>
    <mergeCell ref="AO24:AY24"/>
    <mergeCell ref="A25:B25"/>
    <mergeCell ref="T25:V25"/>
    <mergeCell ref="W25:X25"/>
    <mergeCell ref="Y25:Z25"/>
    <mergeCell ref="AA25:AB25"/>
    <mergeCell ref="AH25:AI25"/>
    <mergeCell ref="AJ25:AK25"/>
    <mergeCell ref="AL25:AN25"/>
    <mergeCell ref="AO25:AY25"/>
    <mergeCell ref="AL23:AN23"/>
    <mergeCell ref="AO23:AY23"/>
    <mergeCell ref="A24:B24"/>
    <mergeCell ref="T24:V24"/>
    <mergeCell ref="W24:X24"/>
    <mergeCell ref="Y24:Z24"/>
    <mergeCell ref="AA24:AB24"/>
    <mergeCell ref="AH24:AI24"/>
    <mergeCell ref="AJ24:AK24"/>
    <mergeCell ref="AL24:AN24"/>
    <mergeCell ref="AJ22:AK22"/>
    <mergeCell ref="AL22:AN22"/>
    <mergeCell ref="AO22:AY22"/>
    <mergeCell ref="A23:B23"/>
    <mergeCell ref="T23:V23"/>
    <mergeCell ref="W23:X23"/>
    <mergeCell ref="Y23:Z23"/>
    <mergeCell ref="AA23:AB23"/>
    <mergeCell ref="AH23:AI23"/>
    <mergeCell ref="AJ23:AK23"/>
    <mergeCell ref="A22:B22"/>
    <mergeCell ref="T22:V22"/>
    <mergeCell ref="W22:X22"/>
    <mergeCell ref="Y22:Z22"/>
    <mergeCell ref="AA22:AB22"/>
    <mergeCell ref="AH22:AI22"/>
    <mergeCell ref="Y21:Z21"/>
    <mergeCell ref="AA21:AB21"/>
    <mergeCell ref="AH21:AI21"/>
    <mergeCell ref="AJ21:AK21"/>
    <mergeCell ref="AL21:AN21"/>
    <mergeCell ref="AO21:AY21"/>
    <mergeCell ref="AA20:AB20"/>
    <mergeCell ref="AH20:AI20"/>
    <mergeCell ref="AJ20:AK20"/>
    <mergeCell ref="AL20:AN20"/>
    <mergeCell ref="AO20:AY20"/>
    <mergeCell ref="A21:B21"/>
    <mergeCell ref="L21:S21"/>
    <mergeCell ref="T21:V21"/>
    <mergeCell ref="W21:X21"/>
    <mergeCell ref="A20:B20"/>
    <mergeCell ref="L20:S20"/>
    <mergeCell ref="T20:V20"/>
    <mergeCell ref="W20:X20"/>
    <mergeCell ref="Y20:Z20"/>
    <mergeCell ref="Y19:Z19"/>
    <mergeCell ref="AA19:AB19"/>
    <mergeCell ref="AH19:AI19"/>
    <mergeCell ref="AJ19:AK19"/>
    <mergeCell ref="AL19:AN19"/>
    <mergeCell ref="AO19:AY19"/>
    <mergeCell ref="AA18:AB18"/>
    <mergeCell ref="AH18:AI18"/>
    <mergeCell ref="AJ18:AK18"/>
    <mergeCell ref="AL18:AN18"/>
    <mergeCell ref="AO18:AY18"/>
    <mergeCell ref="A19:B19"/>
    <mergeCell ref="L19:S19"/>
    <mergeCell ref="T19:V19"/>
    <mergeCell ref="W19:X19"/>
    <mergeCell ref="A18:B18"/>
    <mergeCell ref="L18:S18"/>
    <mergeCell ref="T18:V18"/>
    <mergeCell ref="W18:X18"/>
    <mergeCell ref="Y18:Z18"/>
    <mergeCell ref="Y17:Z17"/>
    <mergeCell ref="AA17:AB17"/>
    <mergeCell ref="AH17:AI17"/>
    <mergeCell ref="AJ17:AK17"/>
    <mergeCell ref="AL17:AN17"/>
    <mergeCell ref="AO17:AY17"/>
    <mergeCell ref="AA16:AB16"/>
    <mergeCell ref="AH16:AI16"/>
    <mergeCell ref="AJ16:AK16"/>
    <mergeCell ref="AL16:AN16"/>
    <mergeCell ref="AO16:AY16"/>
    <mergeCell ref="A17:B17"/>
    <mergeCell ref="L17:S17"/>
    <mergeCell ref="T17:V17"/>
    <mergeCell ref="W17:X17"/>
    <mergeCell ref="A16:B16"/>
    <mergeCell ref="L16:S16"/>
    <mergeCell ref="T16:V16"/>
    <mergeCell ref="W16:X16"/>
    <mergeCell ref="Y16:Z16"/>
    <mergeCell ref="Y15:Z15"/>
    <mergeCell ref="AA15:AB15"/>
    <mergeCell ref="AH15:AI15"/>
    <mergeCell ref="AJ15:AK15"/>
    <mergeCell ref="AL15:AN15"/>
    <mergeCell ref="AO15:AY15"/>
    <mergeCell ref="AA14:AB14"/>
    <mergeCell ref="AH14:AI14"/>
    <mergeCell ref="AJ14:AK14"/>
    <mergeCell ref="AL14:AN14"/>
    <mergeCell ref="AO14:AY14"/>
    <mergeCell ref="A15:B15"/>
    <mergeCell ref="L15:S15"/>
    <mergeCell ref="T15:V15"/>
    <mergeCell ref="W15:X15"/>
    <mergeCell ref="A14:B14"/>
    <mergeCell ref="L14:S14"/>
    <mergeCell ref="T14:V14"/>
    <mergeCell ref="W14:X14"/>
    <mergeCell ref="Y14:Z14"/>
    <mergeCell ref="Y13:Z13"/>
    <mergeCell ref="AA13:AB13"/>
    <mergeCell ref="AH13:AI13"/>
    <mergeCell ref="AJ13:AK13"/>
    <mergeCell ref="AL13:AN13"/>
    <mergeCell ref="AO13:AY13"/>
    <mergeCell ref="AA12:AB12"/>
    <mergeCell ref="AH12:AI12"/>
    <mergeCell ref="AJ12:AK12"/>
    <mergeCell ref="AL12:AN12"/>
    <mergeCell ref="AO12:AY12"/>
    <mergeCell ref="A13:B13"/>
    <mergeCell ref="L13:S13"/>
    <mergeCell ref="T13:V13"/>
    <mergeCell ref="W13:X13"/>
    <mergeCell ref="A12:B12"/>
    <mergeCell ref="L12:S12"/>
    <mergeCell ref="T12:V12"/>
    <mergeCell ref="W12:X12"/>
    <mergeCell ref="Y12:Z12"/>
    <mergeCell ref="AA10:AB10"/>
    <mergeCell ref="AC10:AG10"/>
    <mergeCell ref="AH10:AI10"/>
    <mergeCell ref="AJ10:AK11"/>
    <mergeCell ref="AL10:AN11"/>
    <mergeCell ref="AO10:AY11"/>
    <mergeCell ref="AA11:AB11"/>
    <mergeCell ref="AH11:AI11"/>
    <mergeCell ref="A10:B11"/>
    <mergeCell ref="C10:K11"/>
    <mergeCell ref="L10:S11"/>
    <mergeCell ref="T10:V11"/>
    <mergeCell ref="W10:X11"/>
    <mergeCell ref="Y10:Z11"/>
    <mergeCell ref="G7:K7"/>
    <mergeCell ref="L7:AB7"/>
    <mergeCell ref="AC7:AG7"/>
    <mergeCell ref="AH7:AY7"/>
    <mergeCell ref="G8:K8"/>
    <mergeCell ref="L8:AB8"/>
    <mergeCell ref="AC8:AG8"/>
    <mergeCell ref="AH8:AY8"/>
    <mergeCell ref="AT4:AW4"/>
    <mergeCell ref="G5:K5"/>
    <mergeCell ref="AL5:AN5"/>
    <mergeCell ref="AO5:AS5"/>
    <mergeCell ref="AT5:AW5"/>
    <mergeCell ref="A6:F8"/>
    <mergeCell ref="G6:K6"/>
    <mergeCell ref="L6:AB6"/>
    <mergeCell ref="AC6:AG6"/>
    <mergeCell ref="AH6:AY6"/>
    <mergeCell ref="AX2:AY5"/>
    <mergeCell ref="G3:K3"/>
    <mergeCell ref="AI3:AK3"/>
    <mergeCell ref="AL3:AN3"/>
    <mergeCell ref="AO3:AS3"/>
    <mergeCell ref="AT3:AW3"/>
    <mergeCell ref="G4:K4"/>
    <mergeCell ref="AI4:AK5"/>
    <mergeCell ref="AL4:AN4"/>
    <mergeCell ref="AO4:AS4"/>
    <mergeCell ref="AO1:AS1"/>
    <mergeCell ref="AT1:AW1"/>
    <mergeCell ref="AX1:AY1"/>
    <mergeCell ref="G2:K2"/>
    <mergeCell ref="AC2:AE5"/>
    <mergeCell ref="AF2:AH5"/>
    <mergeCell ref="AI2:AK2"/>
    <mergeCell ref="AL2:AN2"/>
    <mergeCell ref="AO2:AS2"/>
    <mergeCell ref="AT2:AW2"/>
    <mergeCell ref="A1:F5"/>
    <mergeCell ref="G1:K1"/>
    <mergeCell ref="AC1:AE1"/>
    <mergeCell ref="AF1:AH1"/>
    <mergeCell ref="AI1:AK1"/>
    <mergeCell ref="AL1:AN1"/>
  </mergeCells>
  <phoneticPr fontId="23"/>
  <dataValidations disablePrompts="1" count="1">
    <dataValidation type="list" allowBlank="1" showInputMessage="1" showErrorMessage="1" sqref="T54:V54 T50:T53 T12:V49" xr:uid="{58801846-F6B8-48FF-8635-A73A9B17CEEB}">
      <formula1>型候補</formula1>
    </dataValidation>
  </dataValidations>
  <hyperlinks>
    <hyperlink ref="A1:F5" location="テーブル一覧!A1" display="テーブル一覧!A1" xr:uid="{4DC68621-362A-45F5-B024-14ACDC7BE86C}"/>
  </hyperlinks>
  <pageMargins left="0.70866141732283472" right="0.70866141732283472" top="0.74803149606299213" bottom="0.74803149606299213" header="0.31496062992125984" footer="0.31496062992125984"/>
  <pageSetup paperSize="9" scale="83" fitToHeight="0" orientation="landscape" horizontalDpi="4294967294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90316D-27A2-4ACB-A64E-95B3B4494263}">
  <sheetPr codeName="Sheet40">
    <pageSetUpPr fitToPage="1"/>
  </sheetPr>
  <dimension ref="A1:AY54"/>
  <sheetViews>
    <sheetView view="pageBreakPreview" zoomScaleNormal="100" zoomScaleSheetLayoutView="100" workbookViewId="0">
      <selection activeCell="C12" sqref="C12:C23"/>
    </sheetView>
  </sheetViews>
  <sheetFormatPr defaultColWidth="3.83203125" defaultRowHeight="12"/>
  <cols>
    <col min="1" max="1" width="3.83203125" style="7" customWidth="1"/>
    <col min="2" max="3" width="3.83203125" style="8"/>
    <col min="4" max="49" width="3.83203125" style="7"/>
    <col min="50" max="50" width="4" style="7" customWidth="1"/>
    <col min="51" max="16384" width="3.83203125" style="7"/>
  </cols>
  <sheetData>
    <row r="1" spans="1:51" s="2" customFormat="1">
      <c r="A1" s="162" t="str">
        <f>L5</f>
        <v>テーブル定義書</v>
      </c>
      <c r="B1" s="163"/>
      <c r="C1" s="163"/>
      <c r="D1" s="163"/>
      <c r="E1" s="163"/>
      <c r="F1" s="164"/>
      <c r="G1" s="123" t="s">
        <v>59</v>
      </c>
      <c r="H1" s="113"/>
      <c r="I1" s="113"/>
      <c r="J1" s="113"/>
      <c r="K1" s="113"/>
      <c r="L1" s="1">
        <f>表紙!B8</f>
        <v>0</v>
      </c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24"/>
      <c r="AD1" s="124"/>
      <c r="AE1" s="124"/>
      <c r="AF1" s="124"/>
      <c r="AG1" s="124"/>
      <c r="AH1" s="124"/>
      <c r="AI1" s="113" t="s">
        <v>60</v>
      </c>
      <c r="AJ1" s="113"/>
      <c r="AK1" s="113"/>
      <c r="AL1" s="113" t="s">
        <v>61</v>
      </c>
      <c r="AM1" s="113"/>
      <c r="AN1" s="113"/>
      <c r="AO1" s="113" t="s">
        <v>62</v>
      </c>
      <c r="AP1" s="113"/>
      <c r="AQ1" s="113"/>
      <c r="AR1" s="113"/>
      <c r="AS1" s="113"/>
      <c r="AT1" s="113" t="s">
        <v>55</v>
      </c>
      <c r="AU1" s="113"/>
      <c r="AV1" s="113"/>
      <c r="AW1" s="113"/>
      <c r="AX1" s="113" t="s">
        <v>63</v>
      </c>
      <c r="AY1" s="114"/>
    </row>
    <row r="2" spans="1:51" s="2" customFormat="1">
      <c r="A2" s="165"/>
      <c r="B2" s="166"/>
      <c r="C2" s="166"/>
      <c r="D2" s="166"/>
      <c r="E2" s="166"/>
      <c r="F2" s="167"/>
      <c r="G2" s="115" t="s">
        <v>64</v>
      </c>
      <c r="H2" s="116"/>
      <c r="I2" s="116"/>
      <c r="J2" s="116"/>
      <c r="K2" s="116"/>
      <c r="L2" s="3">
        <f>表紙!M8</f>
        <v>0</v>
      </c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117"/>
      <c r="AD2" s="117"/>
      <c r="AE2" s="117"/>
      <c r="AF2" s="117"/>
      <c r="AG2" s="117"/>
      <c r="AH2" s="117"/>
      <c r="AI2" s="119" t="s">
        <v>65</v>
      </c>
      <c r="AJ2" s="119"/>
      <c r="AK2" s="119"/>
      <c r="AL2" s="120" t="s">
        <v>73</v>
      </c>
      <c r="AM2" s="120"/>
      <c r="AN2" s="120"/>
      <c r="AO2" s="121"/>
      <c r="AP2" s="121"/>
      <c r="AQ2" s="122"/>
      <c r="AR2" s="122"/>
      <c r="AS2" s="122"/>
      <c r="AT2" s="122"/>
      <c r="AU2" s="122"/>
      <c r="AV2" s="122"/>
      <c r="AW2" s="122"/>
      <c r="AX2" s="150" t="s">
        <v>74</v>
      </c>
      <c r="AY2" s="151"/>
    </row>
    <row r="3" spans="1:51" s="2" customFormat="1">
      <c r="A3" s="165"/>
      <c r="B3" s="166"/>
      <c r="C3" s="166"/>
      <c r="D3" s="166"/>
      <c r="E3" s="166"/>
      <c r="F3" s="167"/>
      <c r="G3" s="154" t="s">
        <v>66</v>
      </c>
      <c r="H3" s="119"/>
      <c r="I3" s="119"/>
      <c r="J3" s="119"/>
      <c r="K3" s="119"/>
      <c r="L3" s="4" t="s">
        <v>76</v>
      </c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117"/>
      <c r="AD3" s="117"/>
      <c r="AE3" s="117"/>
      <c r="AF3" s="117"/>
      <c r="AG3" s="117"/>
      <c r="AH3" s="117"/>
      <c r="AI3" s="155" t="s">
        <v>67</v>
      </c>
      <c r="AJ3" s="155"/>
      <c r="AK3" s="155"/>
      <c r="AL3" s="156"/>
      <c r="AM3" s="156"/>
      <c r="AN3" s="156"/>
      <c r="AO3" s="157" t="str">
        <f>IF( $AL3 &lt;&gt; "", VLOOKUP( $AL3, 表紙!$B$15:$AE$47, 5, FALSE ), "" )</f>
        <v/>
      </c>
      <c r="AP3" s="157"/>
      <c r="AQ3" s="158"/>
      <c r="AR3" s="158"/>
      <c r="AS3" s="158"/>
      <c r="AT3" s="158" t="str">
        <f>IF( $AL3 &lt;&gt; "", VLOOKUP( $AL3, 表紙!$B$15:$AE$47, 28, FALSE ), "" )</f>
        <v/>
      </c>
      <c r="AU3" s="158"/>
      <c r="AV3" s="158"/>
      <c r="AW3" s="158"/>
      <c r="AX3" s="150"/>
      <c r="AY3" s="151"/>
    </row>
    <row r="4" spans="1:51" s="2" customFormat="1">
      <c r="A4" s="165"/>
      <c r="B4" s="166"/>
      <c r="C4" s="166"/>
      <c r="D4" s="166"/>
      <c r="E4" s="166"/>
      <c r="F4" s="167"/>
      <c r="G4" s="159" t="s">
        <v>75</v>
      </c>
      <c r="H4" s="155"/>
      <c r="I4" s="155"/>
      <c r="J4" s="155"/>
      <c r="K4" s="15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117"/>
      <c r="AD4" s="117"/>
      <c r="AE4" s="117"/>
      <c r="AF4" s="117"/>
      <c r="AG4" s="117"/>
      <c r="AH4" s="117"/>
      <c r="AI4" s="155" t="s">
        <v>68</v>
      </c>
      <c r="AJ4" s="155"/>
      <c r="AK4" s="155"/>
      <c r="AL4" s="156"/>
      <c r="AM4" s="156"/>
      <c r="AN4" s="156"/>
      <c r="AO4" s="160"/>
      <c r="AP4" s="160"/>
      <c r="AQ4" s="161"/>
      <c r="AR4" s="161"/>
      <c r="AS4" s="161"/>
      <c r="AT4" s="125"/>
      <c r="AU4" s="125"/>
      <c r="AV4" s="125"/>
      <c r="AW4" s="125"/>
      <c r="AX4" s="150"/>
      <c r="AY4" s="151"/>
    </row>
    <row r="5" spans="1:51" s="2" customFormat="1" ht="12.75" thickBot="1">
      <c r="A5" s="168"/>
      <c r="B5" s="169"/>
      <c r="C5" s="169"/>
      <c r="D5" s="169"/>
      <c r="E5" s="169"/>
      <c r="F5" s="170"/>
      <c r="G5" s="126" t="s">
        <v>0</v>
      </c>
      <c r="H5" s="127"/>
      <c r="I5" s="127"/>
      <c r="J5" s="127"/>
      <c r="K5" s="127"/>
      <c r="L5" s="6" t="s">
        <v>87</v>
      </c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118"/>
      <c r="AD5" s="118"/>
      <c r="AE5" s="118"/>
      <c r="AF5" s="118"/>
      <c r="AG5" s="118"/>
      <c r="AH5" s="118"/>
      <c r="AI5" s="127"/>
      <c r="AJ5" s="127"/>
      <c r="AK5" s="127"/>
      <c r="AL5" s="128"/>
      <c r="AM5" s="128"/>
      <c r="AN5" s="128"/>
      <c r="AO5" s="129"/>
      <c r="AP5" s="129"/>
      <c r="AQ5" s="130"/>
      <c r="AR5" s="130"/>
      <c r="AS5" s="130"/>
      <c r="AT5" s="131"/>
      <c r="AU5" s="131"/>
      <c r="AV5" s="131"/>
      <c r="AW5" s="131"/>
      <c r="AX5" s="152"/>
      <c r="AY5" s="153"/>
    </row>
    <row r="6" spans="1:51" s="2" customFormat="1">
      <c r="A6" s="132" t="s">
        <v>1</v>
      </c>
      <c r="B6" s="133"/>
      <c r="C6" s="133"/>
      <c r="D6" s="133"/>
      <c r="E6" s="133"/>
      <c r="F6" s="134"/>
      <c r="G6" s="141" t="s">
        <v>10</v>
      </c>
      <c r="H6" s="142"/>
      <c r="I6" s="142"/>
      <c r="J6" s="142"/>
      <c r="K6" s="142"/>
      <c r="L6" s="143"/>
      <c r="M6" s="144"/>
      <c r="N6" s="144"/>
      <c r="O6" s="144"/>
      <c r="P6" s="144"/>
      <c r="Q6" s="144"/>
      <c r="R6" s="144"/>
      <c r="S6" s="144"/>
      <c r="T6" s="144"/>
      <c r="U6" s="144"/>
      <c r="V6" s="144"/>
      <c r="W6" s="144"/>
      <c r="X6" s="144"/>
      <c r="Y6" s="144"/>
      <c r="Z6" s="144"/>
      <c r="AA6" s="144"/>
      <c r="AB6" s="145"/>
      <c r="AC6" s="146" t="s">
        <v>14</v>
      </c>
      <c r="AD6" s="142"/>
      <c r="AE6" s="142"/>
      <c r="AF6" s="142"/>
      <c r="AG6" s="142"/>
      <c r="AH6" s="147" t="s">
        <v>79</v>
      </c>
      <c r="AI6" s="148"/>
      <c r="AJ6" s="148"/>
      <c r="AK6" s="148"/>
      <c r="AL6" s="148"/>
      <c r="AM6" s="148"/>
      <c r="AN6" s="148"/>
      <c r="AO6" s="148"/>
      <c r="AP6" s="148"/>
      <c r="AQ6" s="148"/>
      <c r="AR6" s="148"/>
      <c r="AS6" s="148"/>
      <c r="AT6" s="148"/>
      <c r="AU6" s="148"/>
      <c r="AV6" s="148"/>
      <c r="AW6" s="148"/>
      <c r="AX6" s="148"/>
      <c r="AY6" s="149"/>
    </row>
    <row r="7" spans="1:51" s="2" customFormat="1">
      <c r="A7" s="135"/>
      <c r="B7" s="136"/>
      <c r="C7" s="136"/>
      <c r="D7" s="136"/>
      <c r="E7" s="136"/>
      <c r="F7" s="137"/>
      <c r="G7" s="171" t="s">
        <v>11</v>
      </c>
      <c r="H7" s="155"/>
      <c r="I7" s="155"/>
      <c r="J7" s="155"/>
      <c r="K7" s="155"/>
      <c r="L7" s="172" t="s">
        <v>143</v>
      </c>
      <c r="M7" s="173"/>
      <c r="N7" s="173"/>
      <c r="O7" s="173"/>
      <c r="P7" s="173"/>
      <c r="Q7" s="173"/>
      <c r="R7" s="173"/>
      <c r="S7" s="173"/>
      <c r="T7" s="173"/>
      <c r="U7" s="173"/>
      <c r="V7" s="173"/>
      <c r="W7" s="173"/>
      <c r="X7" s="173"/>
      <c r="Y7" s="173"/>
      <c r="Z7" s="173"/>
      <c r="AA7" s="173"/>
      <c r="AB7" s="174"/>
      <c r="AC7" s="159" t="s">
        <v>13</v>
      </c>
      <c r="AD7" s="155"/>
      <c r="AE7" s="155"/>
      <c r="AF7" s="155"/>
      <c r="AG7" s="155"/>
      <c r="AH7" s="172" t="s">
        <v>143</v>
      </c>
      <c r="AI7" s="173"/>
      <c r="AJ7" s="173"/>
      <c r="AK7" s="173"/>
      <c r="AL7" s="173"/>
      <c r="AM7" s="173"/>
      <c r="AN7" s="173"/>
      <c r="AO7" s="173"/>
      <c r="AP7" s="173"/>
      <c r="AQ7" s="173"/>
      <c r="AR7" s="173"/>
      <c r="AS7" s="173"/>
      <c r="AT7" s="173"/>
      <c r="AU7" s="173"/>
      <c r="AV7" s="173"/>
      <c r="AW7" s="173"/>
      <c r="AX7" s="173"/>
      <c r="AY7" s="174"/>
    </row>
    <row r="8" spans="1:51" s="2" customFormat="1" ht="12.75" thickBot="1">
      <c r="A8" s="138"/>
      <c r="B8" s="139"/>
      <c r="C8" s="139"/>
      <c r="D8" s="139"/>
      <c r="E8" s="139"/>
      <c r="F8" s="140"/>
      <c r="G8" s="175" t="s">
        <v>12</v>
      </c>
      <c r="H8" s="176"/>
      <c r="I8" s="176"/>
      <c r="J8" s="176"/>
      <c r="K8" s="176"/>
      <c r="L8" s="177" t="s">
        <v>170</v>
      </c>
      <c r="M8" s="178"/>
      <c r="N8" s="178"/>
      <c r="O8" s="178"/>
      <c r="P8" s="178"/>
      <c r="Q8" s="178"/>
      <c r="R8" s="178"/>
      <c r="S8" s="178"/>
      <c r="T8" s="178"/>
      <c r="U8" s="178"/>
      <c r="V8" s="178"/>
      <c r="W8" s="178"/>
      <c r="X8" s="178"/>
      <c r="Y8" s="178"/>
      <c r="Z8" s="178"/>
      <c r="AA8" s="178"/>
      <c r="AB8" s="179"/>
      <c r="AC8" s="180" t="s">
        <v>33</v>
      </c>
      <c r="AD8" s="176"/>
      <c r="AE8" s="176"/>
      <c r="AF8" s="176"/>
      <c r="AG8" s="176"/>
      <c r="AH8" s="177" t="str">
        <f ca="1">RIGHT(CELL("filename",A1),LEN(CELL("filename",A1))-FIND("]",CELL("filename",A1)))</f>
        <v>m_性別</v>
      </c>
      <c r="AI8" s="178"/>
      <c r="AJ8" s="178"/>
      <c r="AK8" s="178"/>
      <c r="AL8" s="178"/>
      <c r="AM8" s="178"/>
      <c r="AN8" s="178"/>
      <c r="AO8" s="178"/>
      <c r="AP8" s="178"/>
      <c r="AQ8" s="178"/>
      <c r="AR8" s="178"/>
      <c r="AS8" s="178"/>
      <c r="AT8" s="178"/>
      <c r="AU8" s="178"/>
      <c r="AV8" s="178"/>
      <c r="AW8" s="178"/>
      <c r="AX8" s="178"/>
      <c r="AY8" s="179"/>
    </row>
    <row r="10" spans="1:51">
      <c r="A10" s="181" t="s">
        <v>15</v>
      </c>
      <c r="B10" s="181"/>
      <c r="C10" s="181" t="s">
        <v>17</v>
      </c>
      <c r="D10" s="181"/>
      <c r="E10" s="181"/>
      <c r="F10" s="181"/>
      <c r="G10" s="181"/>
      <c r="H10" s="181"/>
      <c r="I10" s="181"/>
      <c r="J10" s="181"/>
      <c r="K10" s="181"/>
      <c r="L10" s="183" t="s">
        <v>18</v>
      </c>
      <c r="M10" s="184"/>
      <c r="N10" s="184"/>
      <c r="O10" s="184"/>
      <c r="P10" s="184"/>
      <c r="Q10" s="184"/>
      <c r="R10" s="184"/>
      <c r="S10" s="185"/>
      <c r="T10" s="184" t="s">
        <v>16</v>
      </c>
      <c r="U10" s="184"/>
      <c r="V10" s="185"/>
      <c r="W10" s="181" t="s">
        <v>28</v>
      </c>
      <c r="X10" s="181"/>
      <c r="Y10" s="181" t="s">
        <v>29</v>
      </c>
      <c r="Z10" s="181"/>
      <c r="AA10" s="181" t="s">
        <v>25</v>
      </c>
      <c r="AB10" s="181"/>
      <c r="AC10" s="181" t="s">
        <v>26</v>
      </c>
      <c r="AD10" s="181"/>
      <c r="AE10" s="181"/>
      <c r="AF10" s="181"/>
      <c r="AG10" s="181"/>
      <c r="AH10" s="181" t="s">
        <v>27</v>
      </c>
      <c r="AI10" s="181"/>
      <c r="AJ10" s="182" t="s">
        <v>30</v>
      </c>
      <c r="AK10" s="181"/>
      <c r="AL10" s="181" t="s">
        <v>31</v>
      </c>
      <c r="AM10" s="181"/>
      <c r="AN10" s="181"/>
      <c r="AO10" s="181" t="s">
        <v>32</v>
      </c>
      <c r="AP10" s="181"/>
      <c r="AQ10" s="181"/>
      <c r="AR10" s="181"/>
      <c r="AS10" s="181"/>
      <c r="AT10" s="181"/>
      <c r="AU10" s="181"/>
      <c r="AV10" s="181"/>
      <c r="AW10" s="181"/>
      <c r="AX10" s="181"/>
      <c r="AY10" s="181"/>
    </row>
    <row r="11" spans="1:51">
      <c r="A11" s="181"/>
      <c r="B11" s="181"/>
      <c r="C11" s="181"/>
      <c r="D11" s="181"/>
      <c r="E11" s="181"/>
      <c r="F11" s="181"/>
      <c r="G11" s="181"/>
      <c r="H11" s="181"/>
      <c r="I11" s="181"/>
      <c r="J11" s="181"/>
      <c r="K11" s="181"/>
      <c r="L11" s="186"/>
      <c r="M11" s="187"/>
      <c r="N11" s="187"/>
      <c r="O11" s="187"/>
      <c r="P11" s="187"/>
      <c r="Q11" s="187"/>
      <c r="R11" s="187"/>
      <c r="S11" s="188"/>
      <c r="T11" s="187"/>
      <c r="U11" s="187"/>
      <c r="V11" s="188"/>
      <c r="W11" s="181"/>
      <c r="X11" s="181"/>
      <c r="Y11" s="181"/>
      <c r="Z11" s="181"/>
      <c r="AA11" s="181" t="s">
        <v>24</v>
      </c>
      <c r="AB11" s="181"/>
      <c r="AC11" s="9" t="s">
        <v>19</v>
      </c>
      <c r="AD11" s="9" t="s">
        <v>20</v>
      </c>
      <c r="AE11" s="9" t="s">
        <v>21</v>
      </c>
      <c r="AF11" s="9" t="s">
        <v>22</v>
      </c>
      <c r="AG11" s="9" t="s">
        <v>23</v>
      </c>
      <c r="AH11" s="181" t="s">
        <v>24</v>
      </c>
      <c r="AI11" s="181"/>
      <c r="AJ11" s="181"/>
      <c r="AK11" s="181"/>
      <c r="AL11" s="181"/>
      <c r="AM11" s="181"/>
      <c r="AN11" s="181"/>
      <c r="AO11" s="181"/>
      <c r="AP11" s="181"/>
      <c r="AQ11" s="181"/>
      <c r="AR11" s="181"/>
      <c r="AS11" s="181"/>
      <c r="AT11" s="181"/>
      <c r="AU11" s="181"/>
      <c r="AV11" s="181"/>
      <c r="AW11" s="181"/>
      <c r="AX11" s="181"/>
      <c r="AY11" s="181"/>
    </row>
    <row r="12" spans="1:51">
      <c r="A12" s="189">
        <f t="shared" ref="A12:A54" si="0">ROW()-11</f>
        <v>1</v>
      </c>
      <c r="B12" s="190"/>
      <c r="C12" s="61" t="s">
        <v>82</v>
      </c>
      <c r="D12" s="59"/>
      <c r="E12" s="59"/>
      <c r="F12" s="59"/>
      <c r="G12" s="59"/>
      <c r="H12" s="59"/>
      <c r="I12" s="59"/>
      <c r="J12" s="59"/>
      <c r="K12" s="60"/>
      <c r="L12" s="191" t="s">
        <v>93</v>
      </c>
      <c r="M12" s="192"/>
      <c r="N12" s="192"/>
      <c r="O12" s="192"/>
      <c r="P12" s="192"/>
      <c r="Q12" s="192"/>
      <c r="R12" s="192"/>
      <c r="S12" s="193"/>
      <c r="T12" s="194" t="s">
        <v>41</v>
      </c>
      <c r="U12" s="195"/>
      <c r="V12" s="196"/>
      <c r="W12" s="197" t="s">
        <v>43</v>
      </c>
      <c r="X12" s="198"/>
      <c r="Y12" s="197">
        <v>8</v>
      </c>
      <c r="Z12" s="198"/>
      <c r="AA12" s="197"/>
      <c r="AB12" s="198"/>
      <c r="AC12" s="47"/>
      <c r="AD12" s="22"/>
      <c r="AE12" s="22"/>
      <c r="AF12" s="22"/>
      <c r="AG12" s="49"/>
      <c r="AH12" s="197"/>
      <c r="AI12" s="198"/>
      <c r="AJ12" s="199"/>
      <c r="AK12" s="200"/>
      <c r="AL12" s="197"/>
      <c r="AM12" s="201"/>
      <c r="AN12" s="198"/>
      <c r="AO12" s="192"/>
      <c r="AP12" s="192"/>
      <c r="AQ12" s="192"/>
      <c r="AR12" s="192"/>
      <c r="AS12" s="192"/>
      <c r="AT12" s="192"/>
      <c r="AU12" s="192"/>
      <c r="AV12" s="192"/>
      <c r="AW12" s="192"/>
      <c r="AX12" s="192"/>
      <c r="AY12" s="193"/>
    </row>
    <row r="13" spans="1:51">
      <c r="A13" s="189">
        <f t="shared" si="0"/>
        <v>2</v>
      </c>
      <c r="B13" s="190"/>
      <c r="C13" s="61" t="s">
        <v>83</v>
      </c>
      <c r="D13" s="59"/>
      <c r="E13" s="59"/>
      <c r="F13" s="59"/>
      <c r="G13" s="59"/>
      <c r="H13" s="59"/>
      <c r="I13" s="59"/>
      <c r="J13" s="59"/>
      <c r="K13" s="60"/>
      <c r="L13" s="191" t="s">
        <v>94</v>
      </c>
      <c r="M13" s="192"/>
      <c r="N13" s="192"/>
      <c r="O13" s="192"/>
      <c r="P13" s="192"/>
      <c r="Q13" s="192"/>
      <c r="R13" s="192"/>
      <c r="S13" s="193"/>
      <c r="T13" s="194" t="s">
        <v>40</v>
      </c>
      <c r="U13" s="195"/>
      <c r="V13" s="196"/>
      <c r="W13" s="197">
        <v>60</v>
      </c>
      <c r="X13" s="198"/>
      <c r="Y13" s="197">
        <v>60</v>
      </c>
      <c r="Z13" s="198"/>
      <c r="AA13" s="197"/>
      <c r="AB13" s="198"/>
      <c r="AC13" s="47"/>
      <c r="AD13" s="22"/>
      <c r="AE13" s="22"/>
      <c r="AF13" s="22"/>
      <c r="AG13" s="49"/>
      <c r="AH13" s="197"/>
      <c r="AI13" s="198"/>
      <c r="AJ13" s="199"/>
      <c r="AK13" s="200"/>
      <c r="AL13" s="197"/>
      <c r="AM13" s="201"/>
      <c r="AN13" s="198"/>
      <c r="AO13" s="192"/>
      <c r="AP13" s="192"/>
      <c r="AQ13" s="192"/>
      <c r="AR13" s="192"/>
      <c r="AS13" s="192"/>
      <c r="AT13" s="192"/>
      <c r="AU13" s="192"/>
      <c r="AV13" s="192"/>
      <c r="AW13" s="192"/>
      <c r="AX13" s="192"/>
      <c r="AY13" s="193"/>
    </row>
    <row r="14" spans="1:51">
      <c r="A14" s="189">
        <f t="shared" si="0"/>
        <v>3</v>
      </c>
      <c r="B14" s="190"/>
      <c r="C14" s="61" t="s">
        <v>90</v>
      </c>
      <c r="D14" s="59"/>
      <c r="E14" s="59"/>
      <c r="F14" s="59"/>
      <c r="G14" s="59"/>
      <c r="H14" s="59"/>
      <c r="I14" s="59"/>
      <c r="J14" s="59"/>
      <c r="K14" s="60"/>
      <c r="L14" s="191" t="s">
        <v>95</v>
      </c>
      <c r="M14" s="192"/>
      <c r="N14" s="192"/>
      <c r="O14" s="192"/>
      <c r="P14" s="192"/>
      <c r="Q14" s="192"/>
      <c r="R14" s="192"/>
      <c r="S14" s="193"/>
      <c r="T14" s="194" t="s">
        <v>42</v>
      </c>
      <c r="U14" s="195"/>
      <c r="V14" s="196"/>
      <c r="W14" s="197" t="s">
        <v>91</v>
      </c>
      <c r="X14" s="198"/>
      <c r="Y14" s="197">
        <v>4</v>
      </c>
      <c r="Z14" s="198"/>
      <c r="AA14" s="197"/>
      <c r="AB14" s="198"/>
      <c r="AC14" s="47"/>
      <c r="AD14" s="22"/>
      <c r="AE14" s="22"/>
      <c r="AF14" s="22"/>
      <c r="AG14" s="49"/>
      <c r="AH14" s="197"/>
      <c r="AI14" s="198"/>
      <c r="AJ14" s="199"/>
      <c r="AK14" s="200"/>
      <c r="AL14" s="197"/>
      <c r="AM14" s="201"/>
      <c r="AN14" s="198"/>
      <c r="AO14" s="192"/>
      <c r="AP14" s="192"/>
      <c r="AQ14" s="192"/>
      <c r="AR14" s="192"/>
      <c r="AS14" s="192"/>
      <c r="AT14" s="192"/>
      <c r="AU14" s="192"/>
      <c r="AV14" s="192"/>
      <c r="AW14" s="192"/>
      <c r="AX14" s="192"/>
      <c r="AY14" s="193"/>
    </row>
    <row r="15" spans="1:51">
      <c r="A15" s="189">
        <f t="shared" si="0"/>
        <v>4</v>
      </c>
      <c r="B15" s="190"/>
      <c r="C15" s="61" t="s">
        <v>84</v>
      </c>
      <c r="D15" s="59"/>
      <c r="E15" s="59"/>
      <c r="F15" s="59"/>
      <c r="G15" s="59"/>
      <c r="H15" s="59"/>
      <c r="I15" s="59"/>
      <c r="J15" s="59"/>
      <c r="K15" s="60"/>
      <c r="L15" s="191" t="s">
        <v>96</v>
      </c>
      <c r="M15" s="192"/>
      <c r="N15" s="192"/>
      <c r="O15" s="192"/>
      <c r="P15" s="192"/>
      <c r="Q15" s="192"/>
      <c r="R15" s="192"/>
      <c r="S15" s="193"/>
      <c r="T15" s="194" t="s">
        <v>41</v>
      </c>
      <c r="U15" s="195"/>
      <c r="V15" s="196"/>
      <c r="W15" s="197" t="s">
        <v>43</v>
      </c>
      <c r="X15" s="198"/>
      <c r="Y15" s="197">
        <v>8</v>
      </c>
      <c r="Z15" s="198"/>
      <c r="AA15" s="197"/>
      <c r="AB15" s="198"/>
      <c r="AC15" s="47"/>
      <c r="AD15" s="22"/>
      <c r="AE15" s="22"/>
      <c r="AF15" s="22"/>
      <c r="AG15" s="49"/>
      <c r="AH15" s="197"/>
      <c r="AI15" s="198"/>
      <c r="AJ15" s="199"/>
      <c r="AK15" s="200"/>
      <c r="AL15" s="197"/>
      <c r="AM15" s="201"/>
      <c r="AN15" s="198"/>
      <c r="AO15" s="192"/>
      <c r="AP15" s="192"/>
      <c r="AQ15" s="192"/>
      <c r="AR15" s="192"/>
      <c r="AS15" s="192"/>
      <c r="AT15" s="192"/>
      <c r="AU15" s="192"/>
      <c r="AV15" s="192"/>
      <c r="AW15" s="192"/>
      <c r="AX15" s="192"/>
      <c r="AY15" s="193"/>
    </row>
    <row r="16" spans="1:51">
      <c r="A16" s="189">
        <f t="shared" si="0"/>
        <v>5</v>
      </c>
      <c r="B16" s="190"/>
      <c r="C16" s="61" t="s">
        <v>85</v>
      </c>
      <c r="D16" s="59"/>
      <c r="E16" s="59"/>
      <c r="F16" s="59"/>
      <c r="G16" s="59"/>
      <c r="H16" s="59"/>
      <c r="I16" s="59"/>
      <c r="J16" s="59"/>
      <c r="K16" s="60"/>
      <c r="L16" s="191" t="s">
        <v>97</v>
      </c>
      <c r="M16" s="192"/>
      <c r="N16" s="192"/>
      <c r="O16" s="192"/>
      <c r="P16" s="192"/>
      <c r="Q16" s="192"/>
      <c r="R16" s="192"/>
      <c r="S16" s="193"/>
      <c r="T16" s="194" t="s">
        <v>40</v>
      </c>
      <c r="U16" s="195"/>
      <c r="V16" s="196"/>
      <c r="W16" s="197">
        <v>60</v>
      </c>
      <c r="X16" s="198"/>
      <c r="Y16" s="197">
        <v>60</v>
      </c>
      <c r="Z16" s="198"/>
      <c r="AA16" s="197"/>
      <c r="AB16" s="198"/>
      <c r="AC16" s="47"/>
      <c r="AD16" s="22"/>
      <c r="AE16" s="22"/>
      <c r="AF16" s="22"/>
      <c r="AG16" s="49"/>
      <c r="AH16" s="197"/>
      <c r="AI16" s="198"/>
      <c r="AJ16" s="199"/>
      <c r="AK16" s="200"/>
      <c r="AL16" s="197"/>
      <c r="AM16" s="201"/>
      <c r="AN16" s="198"/>
      <c r="AO16" s="192"/>
      <c r="AP16" s="192"/>
      <c r="AQ16" s="192"/>
      <c r="AR16" s="192"/>
      <c r="AS16" s="192"/>
      <c r="AT16" s="192"/>
      <c r="AU16" s="192"/>
      <c r="AV16" s="192"/>
      <c r="AW16" s="192"/>
      <c r="AX16" s="192"/>
      <c r="AY16" s="193"/>
    </row>
    <row r="17" spans="1:51">
      <c r="A17" s="189">
        <f t="shared" si="0"/>
        <v>6</v>
      </c>
      <c r="B17" s="190"/>
      <c r="C17" s="61" t="s">
        <v>92</v>
      </c>
      <c r="D17" s="59"/>
      <c r="E17" s="59"/>
      <c r="F17" s="59"/>
      <c r="G17" s="59"/>
      <c r="H17" s="59"/>
      <c r="I17" s="59"/>
      <c r="J17" s="59"/>
      <c r="K17" s="60"/>
      <c r="L17" s="191" t="s">
        <v>98</v>
      </c>
      <c r="M17" s="192"/>
      <c r="N17" s="192"/>
      <c r="O17" s="192"/>
      <c r="P17" s="192"/>
      <c r="Q17" s="192"/>
      <c r="R17" s="192"/>
      <c r="S17" s="193"/>
      <c r="T17" s="194" t="s">
        <v>42</v>
      </c>
      <c r="U17" s="195"/>
      <c r="V17" s="196"/>
      <c r="W17" s="197" t="s">
        <v>91</v>
      </c>
      <c r="X17" s="198"/>
      <c r="Y17" s="197">
        <v>4</v>
      </c>
      <c r="Z17" s="198"/>
      <c r="AA17" s="197"/>
      <c r="AB17" s="198"/>
      <c r="AC17" s="47"/>
      <c r="AD17" s="22"/>
      <c r="AE17" s="22"/>
      <c r="AF17" s="22"/>
      <c r="AG17" s="49"/>
      <c r="AH17" s="197"/>
      <c r="AI17" s="198"/>
      <c r="AJ17" s="199"/>
      <c r="AK17" s="200"/>
      <c r="AL17" s="197"/>
      <c r="AM17" s="201"/>
      <c r="AN17" s="198"/>
      <c r="AO17" s="192"/>
      <c r="AP17" s="192"/>
      <c r="AQ17" s="192"/>
      <c r="AR17" s="192"/>
      <c r="AS17" s="192"/>
      <c r="AT17" s="192"/>
      <c r="AU17" s="192"/>
      <c r="AV17" s="192"/>
      <c r="AW17" s="192"/>
      <c r="AX17" s="192"/>
      <c r="AY17" s="193"/>
    </row>
    <row r="18" spans="1:51">
      <c r="A18" s="189">
        <f t="shared" si="0"/>
        <v>7</v>
      </c>
      <c r="B18" s="190"/>
      <c r="C18" s="61" t="s">
        <v>100</v>
      </c>
      <c r="D18" s="59"/>
      <c r="E18" s="59"/>
      <c r="F18" s="59"/>
      <c r="G18" s="59"/>
      <c r="H18" s="59"/>
      <c r="I18" s="59"/>
      <c r="J18" s="59"/>
      <c r="K18" s="60"/>
      <c r="L18" s="191" t="s">
        <v>103</v>
      </c>
      <c r="M18" s="192"/>
      <c r="N18" s="192"/>
      <c r="O18" s="192"/>
      <c r="P18" s="192"/>
      <c r="Q18" s="192"/>
      <c r="R18" s="192"/>
      <c r="S18" s="193"/>
      <c r="T18" s="194" t="s">
        <v>41</v>
      </c>
      <c r="U18" s="195"/>
      <c r="V18" s="196"/>
      <c r="W18" s="197" t="s">
        <v>43</v>
      </c>
      <c r="X18" s="198"/>
      <c r="Y18" s="197">
        <v>8</v>
      </c>
      <c r="Z18" s="198"/>
      <c r="AA18" s="197"/>
      <c r="AB18" s="198"/>
      <c r="AC18" s="47"/>
      <c r="AD18" s="22"/>
      <c r="AE18" s="22"/>
      <c r="AF18" s="22"/>
      <c r="AG18" s="49"/>
      <c r="AH18" s="197"/>
      <c r="AI18" s="198"/>
      <c r="AJ18" s="199"/>
      <c r="AK18" s="200"/>
      <c r="AL18" s="197"/>
      <c r="AM18" s="201"/>
      <c r="AN18" s="198"/>
      <c r="AO18" s="192"/>
      <c r="AP18" s="192"/>
      <c r="AQ18" s="192"/>
      <c r="AR18" s="192"/>
      <c r="AS18" s="192"/>
      <c r="AT18" s="192"/>
      <c r="AU18" s="192"/>
      <c r="AV18" s="192"/>
      <c r="AW18" s="192"/>
      <c r="AX18" s="192"/>
      <c r="AY18" s="193"/>
    </row>
    <row r="19" spans="1:51">
      <c r="A19" s="189">
        <f t="shared" si="0"/>
        <v>8</v>
      </c>
      <c r="B19" s="190"/>
      <c r="C19" s="61" t="s">
        <v>101</v>
      </c>
      <c r="D19" s="59"/>
      <c r="E19" s="59"/>
      <c r="F19" s="59"/>
      <c r="G19" s="59"/>
      <c r="H19" s="59"/>
      <c r="I19" s="59"/>
      <c r="J19" s="59"/>
      <c r="K19" s="60"/>
      <c r="L19" s="191" t="s">
        <v>104</v>
      </c>
      <c r="M19" s="192"/>
      <c r="N19" s="192"/>
      <c r="O19" s="192"/>
      <c r="P19" s="192"/>
      <c r="Q19" s="192"/>
      <c r="R19" s="192"/>
      <c r="S19" s="193"/>
      <c r="T19" s="194" t="s">
        <v>40</v>
      </c>
      <c r="U19" s="195"/>
      <c r="V19" s="196"/>
      <c r="W19" s="197">
        <v>60</v>
      </c>
      <c r="X19" s="198"/>
      <c r="Y19" s="197">
        <v>60</v>
      </c>
      <c r="Z19" s="198"/>
      <c r="AA19" s="197"/>
      <c r="AB19" s="198"/>
      <c r="AC19" s="47"/>
      <c r="AD19" s="22"/>
      <c r="AE19" s="22"/>
      <c r="AF19" s="22"/>
      <c r="AG19" s="49"/>
      <c r="AH19" s="197"/>
      <c r="AI19" s="198"/>
      <c r="AJ19" s="199"/>
      <c r="AK19" s="200"/>
      <c r="AL19" s="197"/>
      <c r="AM19" s="201"/>
      <c r="AN19" s="198"/>
      <c r="AO19" s="192"/>
      <c r="AP19" s="192"/>
      <c r="AQ19" s="192"/>
      <c r="AR19" s="192"/>
      <c r="AS19" s="192"/>
      <c r="AT19" s="192"/>
      <c r="AU19" s="192"/>
      <c r="AV19" s="192"/>
      <c r="AW19" s="192"/>
      <c r="AX19" s="192"/>
      <c r="AY19" s="193"/>
    </row>
    <row r="20" spans="1:51">
      <c r="A20" s="189">
        <f t="shared" si="0"/>
        <v>9</v>
      </c>
      <c r="B20" s="190"/>
      <c r="C20" s="61" t="s">
        <v>102</v>
      </c>
      <c r="D20" s="59"/>
      <c r="E20" s="59"/>
      <c r="F20" s="59"/>
      <c r="G20" s="59"/>
      <c r="H20" s="59"/>
      <c r="I20" s="59"/>
      <c r="J20" s="59"/>
      <c r="K20" s="60"/>
      <c r="L20" s="191" t="s">
        <v>105</v>
      </c>
      <c r="M20" s="192"/>
      <c r="N20" s="192"/>
      <c r="O20" s="192"/>
      <c r="P20" s="192"/>
      <c r="Q20" s="192"/>
      <c r="R20" s="192"/>
      <c r="S20" s="193"/>
      <c r="T20" s="194" t="s">
        <v>42</v>
      </c>
      <c r="U20" s="195"/>
      <c r="V20" s="196"/>
      <c r="W20" s="197" t="s">
        <v>91</v>
      </c>
      <c r="X20" s="198"/>
      <c r="Y20" s="197">
        <v>4</v>
      </c>
      <c r="Z20" s="198"/>
      <c r="AA20" s="197"/>
      <c r="AB20" s="198"/>
      <c r="AC20" s="47"/>
      <c r="AD20" s="22"/>
      <c r="AE20" s="22"/>
      <c r="AF20" s="22"/>
      <c r="AG20" s="49"/>
      <c r="AH20" s="197"/>
      <c r="AI20" s="198"/>
      <c r="AJ20" s="199"/>
      <c r="AK20" s="200"/>
      <c r="AL20" s="197"/>
      <c r="AM20" s="201"/>
      <c r="AN20" s="198"/>
      <c r="AO20" s="192"/>
      <c r="AP20" s="192"/>
      <c r="AQ20" s="192"/>
      <c r="AR20" s="192"/>
      <c r="AS20" s="192"/>
      <c r="AT20" s="192"/>
      <c r="AU20" s="192"/>
      <c r="AV20" s="192"/>
      <c r="AW20" s="192"/>
      <c r="AX20" s="192"/>
      <c r="AY20" s="193"/>
    </row>
    <row r="21" spans="1:51">
      <c r="A21" s="189">
        <f>ROW()-11</f>
        <v>10</v>
      </c>
      <c r="B21" s="190"/>
      <c r="C21" s="61" t="s">
        <v>86</v>
      </c>
      <c r="D21" s="59"/>
      <c r="E21" s="59"/>
      <c r="F21" s="59"/>
      <c r="G21" s="59"/>
      <c r="H21" s="59"/>
      <c r="I21" s="59"/>
      <c r="J21" s="59"/>
      <c r="K21" s="60"/>
      <c r="L21" s="191" t="s">
        <v>99</v>
      </c>
      <c r="M21" s="192"/>
      <c r="N21" s="192"/>
      <c r="O21" s="192"/>
      <c r="P21" s="192"/>
      <c r="Q21" s="192"/>
      <c r="R21" s="192"/>
      <c r="S21" s="193"/>
      <c r="T21" s="194" t="s">
        <v>42</v>
      </c>
      <c r="U21" s="195"/>
      <c r="V21" s="196"/>
      <c r="W21" s="197">
        <v>1</v>
      </c>
      <c r="X21" s="198"/>
      <c r="Y21" s="197">
        <v>1</v>
      </c>
      <c r="Z21" s="198"/>
      <c r="AA21" s="197"/>
      <c r="AB21" s="198"/>
      <c r="AC21" s="47"/>
      <c r="AD21" s="22"/>
      <c r="AE21" s="22"/>
      <c r="AF21" s="22"/>
      <c r="AG21" s="49"/>
      <c r="AH21" s="197"/>
      <c r="AI21" s="198"/>
      <c r="AJ21" s="199"/>
      <c r="AK21" s="200"/>
      <c r="AL21" s="197">
        <v>0</v>
      </c>
      <c r="AM21" s="201"/>
      <c r="AN21" s="198"/>
      <c r="AO21" s="192" t="s">
        <v>44</v>
      </c>
      <c r="AP21" s="192"/>
      <c r="AQ21" s="192"/>
      <c r="AR21" s="192"/>
      <c r="AS21" s="192"/>
      <c r="AT21" s="192"/>
      <c r="AU21" s="192"/>
      <c r="AV21" s="192"/>
      <c r="AW21" s="192"/>
      <c r="AX21" s="192"/>
      <c r="AY21" s="193"/>
    </row>
    <row r="22" spans="1:51">
      <c r="A22" s="202">
        <f t="shared" si="0"/>
        <v>11</v>
      </c>
      <c r="B22" s="204"/>
      <c r="C22" s="48" t="s">
        <v>171</v>
      </c>
      <c r="D22" s="42"/>
      <c r="E22" s="42"/>
      <c r="F22" s="42"/>
      <c r="G22" s="42"/>
      <c r="H22" s="42"/>
      <c r="I22" s="42"/>
      <c r="J22" s="42"/>
      <c r="K22" s="44"/>
      <c r="L22" s="48" t="s">
        <v>171</v>
      </c>
      <c r="M22" s="42"/>
      <c r="N22" s="42"/>
      <c r="O22" s="42"/>
      <c r="P22" s="42"/>
      <c r="Q22" s="42"/>
      <c r="R22" s="42"/>
      <c r="S22" s="44"/>
      <c r="T22" s="207" t="s">
        <v>42</v>
      </c>
      <c r="U22" s="208"/>
      <c r="V22" s="209"/>
      <c r="W22" s="220" t="s">
        <v>130</v>
      </c>
      <c r="X22" s="221"/>
      <c r="Y22" s="220">
        <v>1</v>
      </c>
      <c r="Z22" s="221"/>
      <c r="AA22" s="215">
        <v>1</v>
      </c>
      <c r="AB22" s="216"/>
      <c r="AC22" s="46"/>
      <c r="AD22" s="24"/>
      <c r="AE22" s="24"/>
      <c r="AF22" s="24"/>
      <c r="AG22" s="51"/>
      <c r="AH22" s="215"/>
      <c r="AI22" s="216"/>
      <c r="AJ22" s="212" t="s">
        <v>128</v>
      </c>
      <c r="AK22" s="213"/>
      <c r="AL22" s="215"/>
      <c r="AM22" s="217"/>
      <c r="AN22" s="216"/>
      <c r="AO22" s="205"/>
      <c r="AP22" s="205"/>
      <c r="AQ22" s="205"/>
      <c r="AR22" s="205"/>
      <c r="AS22" s="205"/>
      <c r="AT22" s="205"/>
      <c r="AU22" s="205"/>
      <c r="AV22" s="205"/>
      <c r="AW22" s="205"/>
      <c r="AX22" s="205"/>
      <c r="AY22" s="206"/>
    </row>
    <row r="23" spans="1:51">
      <c r="A23" s="202">
        <f t="shared" si="0"/>
        <v>12</v>
      </c>
      <c r="B23" s="204"/>
      <c r="C23" s="48" t="s">
        <v>172</v>
      </c>
      <c r="D23" s="42"/>
      <c r="E23" s="42"/>
      <c r="F23" s="42"/>
      <c r="G23" s="42"/>
      <c r="H23" s="42"/>
      <c r="I23" s="42"/>
      <c r="J23" s="42"/>
      <c r="K23" s="44"/>
      <c r="L23" s="48" t="s">
        <v>172</v>
      </c>
      <c r="M23" s="42"/>
      <c r="N23" s="42"/>
      <c r="O23" s="42"/>
      <c r="P23" s="42"/>
      <c r="Q23" s="42"/>
      <c r="R23" s="42"/>
      <c r="S23" s="44"/>
      <c r="T23" s="207" t="s">
        <v>40</v>
      </c>
      <c r="U23" s="208"/>
      <c r="V23" s="209"/>
      <c r="W23" s="202">
        <v>60</v>
      </c>
      <c r="X23" s="204"/>
      <c r="Y23" s="202"/>
      <c r="Z23" s="204"/>
      <c r="AA23" s="202"/>
      <c r="AB23" s="204"/>
      <c r="AC23" s="46"/>
      <c r="AD23" s="24"/>
      <c r="AE23" s="24"/>
      <c r="AF23" s="24"/>
      <c r="AG23" s="51"/>
      <c r="AH23" s="202"/>
      <c r="AI23" s="204"/>
      <c r="AJ23" s="212"/>
      <c r="AK23" s="213"/>
      <c r="AL23" s="202"/>
      <c r="AM23" s="203"/>
      <c r="AN23" s="204"/>
      <c r="AO23" s="205"/>
      <c r="AP23" s="205"/>
      <c r="AQ23" s="205"/>
      <c r="AR23" s="205"/>
      <c r="AS23" s="205"/>
      <c r="AT23" s="205"/>
      <c r="AU23" s="205"/>
      <c r="AV23" s="205"/>
      <c r="AW23" s="205"/>
      <c r="AX23" s="205"/>
      <c r="AY23" s="206"/>
    </row>
    <row r="24" spans="1:51">
      <c r="A24" s="202">
        <f t="shared" si="0"/>
        <v>13</v>
      </c>
      <c r="B24" s="204"/>
      <c r="C24" s="48"/>
      <c r="D24" s="42"/>
      <c r="E24" s="42"/>
      <c r="F24" s="42"/>
      <c r="G24" s="42"/>
      <c r="H24" s="42"/>
      <c r="I24" s="42"/>
      <c r="J24" s="42"/>
      <c r="K24" s="44"/>
      <c r="L24" s="48"/>
      <c r="M24" s="42"/>
      <c r="N24" s="42"/>
      <c r="O24" s="42"/>
      <c r="P24" s="42"/>
      <c r="Q24" s="42"/>
      <c r="R24" s="42"/>
      <c r="S24" s="44"/>
      <c r="T24" s="207"/>
      <c r="U24" s="208"/>
      <c r="V24" s="209"/>
      <c r="W24" s="202"/>
      <c r="X24" s="204"/>
      <c r="Y24" s="202"/>
      <c r="Z24" s="204"/>
      <c r="AA24" s="202"/>
      <c r="AB24" s="204"/>
      <c r="AC24" s="46"/>
      <c r="AD24" s="24"/>
      <c r="AE24" s="24"/>
      <c r="AF24" s="24"/>
      <c r="AG24" s="51"/>
      <c r="AH24" s="202"/>
      <c r="AI24" s="204"/>
      <c r="AJ24" s="100"/>
      <c r="AK24" s="102"/>
      <c r="AL24" s="202"/>
      <c r="AM24" s="203"/>
      <c r="AN24" s="204"/>
      <c r="AO24" s="205"/>
      <c r="AP24" s="205"/>
      <c r="AQ24" s="205"/>
      <c r="AR24" s="205"/>
      <c r="AS24" s="205"/>
      <c r="AT24" s="205"/>
      <c r="AU24" s="205"/>
      <c r="AV24" s="205"/>
      <c r="AW24" s="205"/>
      <c r="AX24" s="205"/>
      <c r="AY24" s="206"/>
    </row>
    <row r="25" spans="1:51">
      <c r="A25" s="202">
        <f t="shared" si="0"/>
        <v>14</v>
      </c>
      <c r="B25" s="204"/>
      <c r="C25" s="48"/>
      <c r="D25" s="42"/>
      <c r="E25" s="42"/>
      <c r="F25" s="42"/>
      <c r="G25" s="42"/>
      <c r="H25" s="42"/>
      <c r="I25" s="42"/>
      <c r="J25" s="42"/>
      <c r="K25" s="44"/>
      <c r="L25" s="48"/>
      <c r="M25" s="42"/>
      <c r="N25" s="42"/>
      <c r="O25" s="42"/>
      <c r="P25" s="42"/>
      <c r="Q25" s="42"/>
      <c r="R25" s="42"/>
      <c r="S25" s="44"/>
      <c r="T25" s="207"/>
      <c r="U25" s="208"/>
      <c r="V25" s="209"/>
      <c r="W25" s="202"/>
      <c r="X25" s="204"/>
      <c r="Y25" s="202"/>
      <c r="Z25" s="204"/>
      <c r="AA25" s="202"/>
      <c r="AB25" s="204"/>
      <c r="AC25" s="45"/>
      <c r="AD25" s="23"/>
      <c r="AE25" s="23"/>
      <c r="AF25" s="23"/>
      <c r="AG25" s="50"/>
      <c r="AH25" s="202"/>
      <c r="AI25" s="204"/>
      <c r="AJ25" s="100"/>
      <c r="AK25" s="102"/>
      <c r="AL25" s="202"/>
      <c r="AM25" s="203"/>
      <c r="AN25" s="204"/>
      <c r="AO25" s="205"/>
      <c r="AP25" s="205"/>
      <c r="AQ25" s="205"/>
      <c r="AR25" s="205"/>
      <c r="AS25" s="205"/>
      <c r="AT25" s="205"/>
      <c r="AU25" s="205"/>
      <c r="AV25" s="205"/>
      <c r="AW25" s="205"/>
      <c r="AX25" s="205"/>
      <c r="AY25" s="206"/>
    </row>
    <row r="26" spans="1:51">
      <c r="A26" s="202">
        <f t="shared" si="0"/>
        <v>15</v>
      </c>
      <c r="B26" s="204"/>
      <c r="C26" s="48"/>
      <c r="D26" s="42"/>
      <c r="E26" s="42"/>
      <c r="F26" s="42"/>
      <c r="G26" s="42"/>
      <c r="H26" s="42"/>
      <c r="I26" s="42"/>
      <c r="J26" s="42"/>
      <c r="K26" s="44"/>
      <c r="L26" s="48"/>
      <c r="M26" s="42"/>
      <c r="N26" s="42"/>
      <c r="O26" s="42"/>
      <c r="P26" s="42"/>
      <c r="Q26" s="42"/>
      <c r="R26" s="42"/>
      <c r="S26" s="44"/>
      <c r="T26" s="207"/>
      <c r="U26" s="208"/>
      <c r="V26" s="209"/>
      <c r="W26" s="202"/>
      <c r="X26" s="204"/>
      <c r="Y26" s="202"/>
      <c r="Z26" s="204"/>
      <c r="AA26" s="215"/>
      <c r="AB26" s="216"/>
      <c r="AC26" s="46"/>
      <c r="AD26" s="24"/>
      <c r="AE26" s="24"/>
      <c r="AF26" s="24"/>
      <c r="AG26" s="51"/>
      <c r="AH26" s="215"/>
      <c r="AI26" s="216"/>
      <c r="AJ26" s="100"/>
      <c r="AK26" s="102"/>
      <c r="AL26" s="215"/>
      <c r="AM26" s="217"/>
      <c r="AN26" s="216"/>
      <c r="AO26" s="205"/>
      <c r="AP26" s="205"/>
      <c r="AQ26" s="205"/>
      <c r="AR26" s="205"/>
      <c r="AS26" s="205"/>
      <c r="AT26" s="205"/>
      <c r="AU26" s="205"/>
      <c r="AV26" s="205"/>
      <c r="AW26" s="205"/>
      <c r="AX26" s="205"/>
      <c r="AY26" s="206"/>
    </row>
    <row r="27" spans="1:51">
      <c r="A27" s="218">
        <f t="shared" si="0"/>
        <v>16</v>
      </c>
      <c r="B27" s="219"/>
      <c r="C27" s="48"/>
      <c r="D27" s="42"/>
      <c r="E27" s="42"/>
      <c r="F27" s="42"/>
      <c r="G27" s="42"/>
      <c r="H27" s="42"/>
      <c r="I27" s="42"/>
      <c r="J27" s="42"/>
      <c r="K27" s="44"/>
      <c r="L27" s="48"/>
      <c r="M27" s="42"/>
      <c r="N27" s="42"/>
      <c r="O27" s="42"/>
      <c r="P27" s="42"/>
      <c r="Q27" s="42"/>
      <c r="R27" s="42"/>
      <c r="S27" s="44"/>
      <c r="T27" s="207"/>
      <c r="U27" s="208"/>
      <c r="V27" s="209"/>
      <c r="W27" s="202"/>
      <c r="X27" s="204"/>
      <c r="Y27" s="202"/>
      <c r="Z27" s="204"/>
      <c r="AA27" s="220"/>
      <c r="AB27" s="221"/>
      <c r="AC27" s="45"/>
      <c r="AD27" s="23"/>
      <c r="AE27" s="23"/>
      <c r="AF27" s="23"/>
      <c r="AG27" s="50"/>
      <c r="AH27" s="220"/>
      <c r="AI27" s="221"/>
      <c r="AJ27" s="223"/>
      <c r="AK27" s="224"/>
      <c r="AL27" s="220"/>
      <c r="AM27" s="222"/>
      <c r="AN27" s="221"/>
      <c r="AO27" s="205"/>
      <c r="AP27" s="205"/>
      <c r="AQ27" s="205"/>
      <c r="AR27" s="205"/>
      <c r="AS27" s="205"/>
      <c r="AT27" s="205"/>
      <c r="AU27" s="205"/>
      <c r="AV27" s="205"/>
      <c r="AW27" s="205"/>
      <c r="AX27" s="205"/>
      <c r="AY27" s="206"/>
    </row>
    <row r="28" spans="1:51">
      <c r="A28" s="218">
        <f t="shared" si="0"/>
        <v>17</v>
      </c>
      <c r="B28" s="219"/>
      <c r="C28" s="48"/>
      <c r="D28" s="42"/>
      <c r="E28" s="42"/>
      <c r="F28" s="42"/>
      <c r="G28" s="42"/>
      <c r="H28" s="42"/>
      <c r="I28" s="42"/>
      <c r="J28" s="42"/>
      <c r="K28" s="44"/>
      <c r="L28" s="48"/>
      <c r="M28" s="42"/>
      <c r="N28" s="42"/>
      <c r="O28" s="42"/>
      <c r="P28" s="42"/>
      <c r="Q28" s="42"/>
      <c r="R28" s="42"/>
      <c r="S28" s="44"/>
      <c r="T28" s="207"/>
      <c r="U28" s="208"/>
      <c r="V28" s="209"/>
      <c r="W28" s="202"/>
      <c r="X28" s="204"/>
      <c r="Y28" s="202"/>
      <c r="Z28" s="204"/>
      <c r="AA28" s="202"/>
      <c r="AB28" s="204"/>
      <c r="AC28" s="45"/>
      <c r="AD28" s="23"/>
      <c r="AE28" s="23"/>
      <c r="AF28" s="23"/>
      <c r="AG28" s="50"/>
      <c r="AH28" s="202"/>
      <c r="AI28" s="204"/>
      <c r="AJ28" s="100"/>
      <c r="AK28" s="102"/>
      <c r="AL28" s="202"/>
      <c r="AM28" s="203"/>
      <c r="AN28" s="204"/>
      <c r="AO28" s="205"/>
      <c r="AP28" s="205"/>
      <c r="AQ28" s="205"/>
      <c r="AR28" s="205"/>
      <c r="AS28" s="205"/>
      <c r="AT28" s="205"/>
      <c r="AU28" s="205"/>
      <c r="AV28" s="205"/>
      <c r="AW28" s="205"/>
      <c r="AX28" s="205"/>
      <c r="AY28" s="206"/>
    </row>
    <row r="29" spans="1:51">
      <c r="A29" s="218">
        <f t="shared" si="0"/>
        <v>18</v>
      </c>
      <c r="B29" s="219"/>
      <c r="C29" s="48"/>
      <c r="D29" s="42"/>
      <c r="E29" s="42"/>
      <c r="F29" s="42"/>
      <c r="G29" s="42"/>
      <c r="H29" s="42"/>
      <c r="I29" s="42"/>
      <c r="J29" s="42"/>
      <c r="K29" s="44"/>
      <c r="L29" s="48"/>
      <c r="M29" s="42"/>
      <c r="N29" s="42"/>
      <c r="O29" s="42"/>
      <c r="P29" s="42"/>
      <c r="Q29" s="42"/>
      <c r="R29" s="42"/>
      <c r="S29" s="44"/>
      <c r="T29" s="207"/>
      <c r="U29" s="208"/>
      <c r="V29" s="209"/>
      <c r="W29" s="202"/>
      <c r="X29" s="204"/>
      <c r="Y29" s="202"/>
      <c r="Z29" s="204"/>
      <c r="AA29" s="202"/>
      <c r="AB29" s="204"/>
      <c r="AC29" s="45"/>
      <c r="AD29" s="23"/>
      <c r="AE29" s="23"/>
      <c r="AF29" s="23"/>
      <c r="AG29" s="50"/>
      <c r="AH29" s="202"/>
      <c r="AI29" s="204"/>
      <c r="AJ29" s="100"/>
      <c r="AK29" s="102"/>
      <c r="AL29" s="202"/>
      <c r="AM29" s="203"/>
      <c r="AN29" s="204"/>
      <c r="AO29" s="205"/>
      <c r="AP29" s="205"/>
      <c r="AQ29" s="205"/>
      <c r="AR29" s="205"/>
      <c r="AS29" s="205"/>
      <c r="AT29" s="205"/>
      <c r="AU29" s="205"/>
      <c r="AV29" s="205"/>
      <c r="AW29" s="205"/>
      <c r="AX29" s="205"/>
      <c r="AY29" s="206"/>
    </row>
    <row r="30" spans="1:51">
      <c r="A30" s="218">
        <f t="shared" si="0"/>
        <v>19</v>
      </c>
      <c r="B30" s="219"/>
      <c r="C30" s="48"/>
      <c r="D30" s="42"/>
      <c r="E30" s="42"/>
      <c r="F30" s="42"/>
      <c r="G30" s="42"/>
      <c r="H30" s="42"/>
      <c r="I30" s="42"/>
      <c r="J30" s="42"/>
      <c r="K30" s="44"/>
      <c r="L30" s="48"/>
      <c r="M30" s="42"/>
      <c r="N30" s="42"/>
      <c r="O30" s="42"/>
      <c r="P30" s="42"/>
      <c r="Q30" s="42"/>
      <c r="R30" s="42"/>
      <c r="S30" s="44"/>
      <c r="T30" s="207"/>
      <c r="U30" s="208"/>
      <c r="V30" s="209"/>
      <c r="W30" s="202"/>
      <c r="X30" s="204"/>
      <c r="Y30" s="202"/>
      <c r="Z30" s="204"/>
      <c r="AA30" s="220"/>
      <c r="AB30" s="221"/>
      <c r="AC30" s="45"/>
      <c r="AD30" s="23"/>
      <c r="AE30" s="23"/>
      <c r="AF30" s="23"/>
      <c r="AG30" s="50"/>
      <c r="AH30" s="220"/>
      <c r="AI30" s="221"/>
      <c r="AJ30" s="223"/>
      <c r="AK30" s="224"/>
      <c r="AL30" s="220"/>
      <c r="AM30" s="222"/>
      <c r="AN30" s="221"/>
      <c r="AO30" s="205"/>
      <c r="AP30" s="205"/>
      <c r="AQ30" s="205"/>
      <c r="AR30" s="205"/>
      <c r="AS30" s="205"/>
      <c r="AT30" s="205"/>
      <c r="AU30" s="205"/>
      <c r="AV30" s="205"/>
      <c r="AW30" s="205"/>
      <c r="AX30" s="205"/>
      <c r="AY30" s="206"/>
    </row>
    <row r="31" spans="1:51">
      <c r="A31" s="218">
        <f t="shared" si="0"/>
        <v>20</v>
      </c>
      <c r="B31" s="219"/>
      <c r="C31" s="48"/>
      <c r="D31" s="42"/>
      <c r="E31" s="42"/>
      <c r="F31" s="42"/>
      <c r="G31" s="42"/>
      <c r="H31" s="42"/>
      <c r="I31" s="42"/>
      <c r="J31" s="42"/>
      <c r="K31" s="44"/>
      <c r="L31" s="48"/>
      <c r="M31" s="42"/>
      <c r="N31" s="42"/>
      <c r="O31" s="42"/>
      <c r="P31" s="42"/>
      <c r="Q31" s="42"/>
      <c r="R31" s="42"/>
      <c r="S31" s="44"/>
      <c r="T31" s="207"/>
      <c r="U31" s="208"/>
      <c r="V31" s="209"/>
      <c r="W31" s="202"/>
      <c r="X31" s="204"/>
      <c r="Y31" s="220"/>
      <c r="Z31" s="221"/>
      <c r="AA31" s="220"/>
      <c r="AB31" s="221"/>
      <c r="AC31" s="45"/>
      <c r="AD31" s="23"/>
      <c r="AE31" s="23"/>
      <c r="AF31" s="23"/>
      <c r="AG31" s="50"/>
      <c r="AH31" s="220"/>
      <c r="AI31" s="221"/>
      <c r="AJ31" s="223"/>
      <c r="AK31" s="224"/>
      <c r="AL31" s="220"/>
      <c r="AM31" s="222"/>
      <c r="AN31" s="221"/>
      <c r="AO31" s="205"/>
      <c r="AP31" s="205"/>
      <c r="AQ31" s="205"/>
      <c r="AR31" s="205"/>
      <c r="AS31" s="205"/>
      <c r="AT31" s="205"/>
      <c r="AU31" s="205"/>
      <c r="AV31" s="205"/>
      <c r="AW31" s="205"/>
      <c r="AX31" s="205"/>
      <c r="AY31" s="206"/>
    </row>
    <row r="32" spans="1:51">
      <c r="A32" s="218">
        <f t="shared" si="0"/>
        <v>21</v>
      </c>
      <c r="B32" s="219"/>
      <c r="C32" s="48"/>
      <c r="D32" s="42"/>
      <c r="E32" s="42"/>
      <c r="F32" s="42"/>
      <c r="G32" s="42"/>
      <c r="H32" s="42"/>
      <c r="I32" s="42"/>
      <c r="J32" s="42"/>
      <c r="K32" s="44"/>
      <c r="L32" s="48"/>
      <c r="M32" s="42"/>
      <c r="N32" s="42"/>
      <c r="O32" s="42"/>
      <c r="P32" s="42"/>
      <c r="Q32" s="42"/>
      <c r="R32" s="42"/>
      <c r="S32" s="44"/>
      <c r="T32" s="207"/>
      <c r="U32" s="208"/>
      <c r="V32" s="209"/>
      <c r="W32" s="202"/>
      <c r="X32" s="204"/>
      <c r="Y32" s="220"/>
      <c r="Z32" s="221"/>
      <c r="AA32" s="220"/>
      <c r="AB32" s="221"/>
      <c r="AC32" s="45"/>
      <c r="AD32" s="23"/>
      <c r="AE32" s="23"/>
      <c r="AF32" s="23"/>
      <c r="AG32" s="50"/>
      <c r="AH32" s="220"/>
      <c r="AI32" s="221"/>
      <c r="AJ32" s="223"/>
      <c r="AK32" s="224"/>
      <c r="AL32" s="220"/>
      <c r="AM32" s="222"/>
      <c r="AN32" s="221"/>
      <c r="AO32" s="205"/>
      <c r="AP32" s="205"/>
      <c r="AQ32" s="205"/>
      <c r="AR32" s="205"/>
      <c r="AS32" s="205"/>
      <c r="AT32" s="205"/>
      <c r="AU32" s="205"/>
      <c r="AV32" s="205"/>
      <c r="AW32" s="205"/>
      <c r="AX32" s="205"/>
      <c r="AY32" s="206"/>
    </row>
    <row r="33" spans="1:51">
      <c r="A33" s="218">
        <f t="shared" si="0"/>
        <v>22</v>
      </c>
      <c r="B33" s="219"/>
      <c r="C33" s="48"/>
      <c r="D33" s="42"/>
      <c r="E33" s="42"/>
      <c r="F33" s="42"/>
      <c r="G33" s="42"/>
      <c r="H33" s="42"/>
      <c r="I33" s="42"/>
      <c r="J33" s="42"/>
      <c r="K33" s="44"/>
      <c r="L33" s="48"/>
      <c r="M33" s="42"/>
      <c r="N33" s="42"/>
      <c r="O33" s="42"/>
      <c r="P33" s="42"/>
      <c r="Q33" s="42"/>
      <c r="R33" s="42"/>
      <c r="S33" s="44"/>
      <c r="T33" s="207"/>
      <c r="U33" s="208"/>
      <c r="V33" s="209"/>
      <c r="W33" s="202"/>
      <c r="X33" s="204"/>
      <c r="Y33" s="220"/>
      <c r="Z33" s="221"/>
      <c r="AA33" s="220"/>
      <c r="AB33" s="221"/>
      <c r="AC33" s="45"/>
      <c r="AD33" s="23"/>
      <c r="AE33" s="23"/>
      <c r="AF33" s="23"/>
      <c r="AG33" s="50"/>
      <c r="AH33" s="220"/>
      <c r="AI33" s="221"/>
      <c r="AJ33" s="223"/>
      <c r="AK33" s="224"/>
      <c r="AL33" s="220"/>
      <c r="AM33" s="222"/>
      <c r="AN33" s="221"/>
      <c r="AO33" s="205"/>
      <c r="AP33" s="205"/>
      <c r="AQ33" s="205"/>
      <c r="AR33" s="205"/>
      <c r="AS33" s="205"/>
      <c r="AT33" s="205"/>
      <c r="AU33" s="205"/>
      <c r="AV33" s="205"/>
      <c r="AW33" s="205"/>
      <c r="AX33" s="205"/>
      <c r="AY33" s="206"/>
    </row>
    <row r="34" spans="1:51">
      <c r="A34" s="218">
        <f t="shared" si="0"/>
        <v>23</v>
      </c>
      <c r="B34" s="219"/>
      <c r="C34" s="48"/>
      <c r="D34" s="42"/>
      <c r="E34" s="42"/>
      <c r="F34" s="42"/>
      <c r="G34" s="42"/>
      <c r="H34" s="42"/>
      <c r="I34" s="42"/>
      <c r="J34" s="42"/>
      <c r="K34" s="44"/>
      <c r="L34" s="48"/>
      <c r="M34" s="42"/>
      <c r="N34" s="42"/>
      <c r="O34" s="42"/>
      <c r="P34" s="42"/>
      <c r="Q34" s="42"/>
      <c r="R34" s="42"/>
      <c r="S34" s="44"/>
      <c r="T34" s="207"/>
      <c r="U34" s="208"/>
      <c r="V34" s="209"/>
      <c r="W34" s="202"/>
      <c r="X34" s="204"/>
      <c r="Y34" s="202"/>
      <c r="Z34" s="204"/>
      <c r="AA34" s="220"/>
      <c r="AB34" s="221"/>
      <c r="AC34" s="45"/>
      <c r="AD34" s="23"/>
      <c r="AE34" s="23"/>
      <c r="AF34" s="23"/>
      <c r="AG34" s="50"/>
      <c r="AH34" s="220"/>
      <c r="AI34" s="221"/>
      <c r="AJ34" s="223"/>
      <c r="AK34" s="224"/>
      <c r="AL34" s="220"/>
      <c r="AM34" s="222"/>
      <c r="AN34" s="221"/>
      <c r="AO34" s="205"/>
      <c r="AP34" s="205"/>
      <c r="AQ34" s="205"/>
      <c r="AR34" s="205"/>
      <c r="AS34" s="205"/>
      <c r="AT34" s="205"/>
      <c r="AU34" s="205"/>
      <c r="AV34" s="205"/>
      <c r="AW34" s="205"/>
      <c r="AX34" s="205"/>
      <c r="AY34" s="206"/>
    </row>
    <row r="35" spans="1:51">
      <c r="A35" s="218">
        <f t="shared" si="0"/>
        <v>24</v>
      </c>
      <c r="B35" s="219"/>
      <c r="C35" s="48"/>
      <c r="D35" s="42"/>
      <c r="E35" s="42"/>
      <c r="F35" s="42"/>
      <c r="G35" s="42"/>
      <c r="H35" s="42"/>
      <c r="I35" s="42"/>
      <c r="J35" s="42"/>
      <c r="K35" s="44"/>
      <c r="L35" s="48"/>
      <c r="M35" s="42"/>
      <c r="N35" s="42"/>
      <c r="O35" s="42"/>
      <c r="P35" s="42"/>
      <c r="Q35" s="42"/>
      <c r="R35" s="42"/>
      <c r="S35" s="44"/>
      <c r="T35" s="207"/>
      <c r="U35" s="208"/>
      <c r="V35" s="209"/>
      <c r="W35" s="202"/>
      <c r="X35" s="204"/>
      <c r="Y35" s="202"/>
      <c r="Z35" s="204"/>
      <c r="AA35" s="220"/>
      <c r="AB35" s="221"/>
      <c r="AC35" s="45"/>
      <c r="AD35" s="23"/>
      <c r="AE35" s="23"/>
      <c r="AF35" s="23"/>
      <c r="AG35" s="50"/>
      <c r="AH35" s="220"/>
      <c r="AI35" s="221"/>
      <c r="AJ35" s="223"/>
      <c r="AK35" s="224"/>
      <c r="AL35" s="220"/>
      <c r="AM35" s="222"/>
      <c r="AN35" s="221"/>
      <c r="AO35" s="205"/>
      <c r="AP35" s="205"/>
      <c r="AQ35" s="205"/>
      <c r="AR35" s="205"/>
      <c r="AS35" s="205"/>
      <c r="AT35" s="205"/>
      <c r="AU35" s="205"/>
      <c r="AV35" s="205"/>
      <c r="AW35" s="205"/>
      <c r="AX35" s="205"/>
      <c r="AY35" s="206"/>
    </row>
    <row r="36" spans="1:51">
      <c r="A36" s="218">
        <f t="shared" si="0"/>
        <v>25</v>
      </c>
      <c r="B36" s="219"/>
      <c r="C36" s="48"/>
      <c r="D36" s="42"/>
      <c r="E36" s="42"/>
      <c r="F36" s="42"/>
      <c r="G36" s="42"/>
      <c r="H36" s="42"/>
      <c r="I36" s="42"/>
      <c r="J36" s="42"/>
      <c r="K36" s="44"/>
      <c r="L36" s="48"/>
      <c r="M36" s="42"/>
      <c r="N36" s="42"/>
      <c r="O36" s="42"/>
      <c r="P36" s="42"/>
      <c r="Q36" s="42"/>
      <c r="R36" s="42"/>
      <c r="S36" s="44"/>
      <c r="T36" s="207"/>
      <c r="U36" s="208"/>
      <c r="V36" s="209"/>
      <c r="W36" s="202"/>
      <c r="X36" s="204"/>
      <c r="Y36" s="220"/>
      <c r="Z36" s="221"/>
      <c r="AA36" s="215"/>
      <c r="AB36" s="216"/>
      <c r="AC36" s="46"/>
      <c r="AD36" s="24"/>
      <c r="AE36" s="24"/>
      <c r="AF36" s="24"/>
      <c r="AG36" s="51"/>
      <c r="AH36" s="215"/>
      <c r="AI36" s="216"/>
      <c r="AJ36" s="212"/>
      <c r="AK36" s="213"/>
      <c r="AL36" s="215"/>
      <c r="AM36" s="217"/>
      <c r="AN36" s="216"/>
      <c r="AO36" s="205"/>
      <c r="AP36" s="205"/>
      <c r="AQ36" s="205"/>
      <c r="AR36" s="205"/>
      <c r="AS36" s="205"/>
      <c r="AT36" s="205"/>
      <c r="AU36" s="205"/>
      <c r="AV36" s="205"/>
      <c r="AW36" s="205"/>
      <c r="AX36" s="205"/>
      <c r="AY36" s="206"/>
    </row>
    <row r="37" spans="1:51">
      <c r="A37" s="202">
        <f t="shared" si="0"/>
        <v>26</v>
      </c>
      <c r="B37" s="204"/>
      <c r="C37" s="48"/>
      <c r="D37" s="42"/>
      <c r="E37" s="42"/>
      <c r="F37" s="42"/>
      <c r="G37" s="42"/>
      <c r="H37" s="42"/>
      <c r="I37" s="42"/>
      <c r="J37" s="42"/>
      <c r="K37" s="44"/>
      <c r="L37" s="48"/>
      <c r="M37" s="42"/>
      <c r="N37" s="42"/>
      <c r="O37" s="42"/>
      <c r="P37" s="42"/>
      <c r="Q37" s="42"/>
      <c r="R37" s="42"/>
      <c r="S37" s="44"/>
      <c r="T37" s="207"/>
      <c r="U37" s="208"/>
      <c r="V37" s="209"/>
      <c r="W37" s="202"/>
      <c r="X37" s="204"/>
      <c r="Y37" s="220"/>
      <c r="Z37" s="221"/>
      <c r="AA37" s="215"/>
      <c r="AB37" s="216"/>
      <c r="AC37" s="46"/>
      <c r="AD37" s="24"/>
      <c r="AE37" s="24"/>
      <c r="AF37" s="24"/>
      <c r="AG37" s="51"/>
      <c r="AH37" s="215"/>
      <c r="AI37" s="216"/>
      <c r="AJ37" s="212"/>
      <c r="AK37" s="213"/>
      <c r="AL37" s="215"/>
      <c r="AM37" s="217"/>
      <c r="AN37" s="216"/>
      <c r="AO37" s="205"/>
      <c r="AP37" s="205"/>
      <c r="AQ37" s="205"/>
      <c r="AR37" s="205"/>
      <c r="AS37" s="205"/>
      <c r="AT37" s="205"/>
      <c r="AU37" s="205"/>
      <c r="AV37" s="205"/>
      <c r="AW37" s="205"/>
      <c r="AX37" s="205"/>
      <c r="AY37" s="206"/>
    </row>
    <row r="38" spans="1:51">
      <c r="A38" s="218">
        <f t="shared" si="0"/>
        <v>27</v>
      </c>
      <c r="B38" s="219"/>
      <c r="C38" s="48"/>
      <c r="D38" s="42"/>
      <c r="E38" s="42"/>
      <c r="F38" s="42"/>
      <c r="G38" s="42"/>
      <c r="H38" s="42"/>
      <c r="I38" s="42"/>
      <c r="J38" s="42"/>
      <c r="K38" s="44"/>
      <c r="L38" s="48"/>
      <c r="M38" s="42"/>
      <c r="N38" s="42"/>
      <c r="O38" s="42"/>
      <c r="P38" s="42"/>
      <c r="Q38" s="42"/>
      <c r="R38" s="42"/>
      <c r="S38" s="44"/>
      <c r="T38" s="207"/>
      <c r="U38" s="208"/>
      <c r="V38" s="209"/>
      <c r="W38" s="202"/>
      <c r="X38" s="204"/>
      <c r="Y38" s="202"/>
      <c r="Z38" s="204"/>
      <c r="AA38" s="215"/>
      <c r="AB38" s="216"/>
      <c r="AC38" s="46"/>
      <c r="AD38" s="24"/>
      <c r="AE38" s="24"/>
      <c r="AF38" s="24"/>
      <c r="AG38" s="51"/>
      <c r="AH38" s="215"/>
      <c r="AI38" s="216"/>
      <c r="AJ38" s="212"/>
      <c r="AK38" s="213"/>
      <c r="AL38" s="215"/>
      <c r="AM38" s="217"/>
      <c r="AN38" s="216"/>
      <c r="AO38" s="205"/>
      <c r="AP38" s="205"/>
      <c r="AQ38" s="205"/>
      <c r="AR38" s="205"/>
      <c r="AS38" s="205"/>
      <c r="AT38" s="205"/>
      <c r="AU38" s="205"/>
      <c r="AV38" s="205"/>
      <c r="AW38" s="205"/>
      <c r="AX38" s="205"/>
      <c r="AY38" s="206"/>
    </row>
    <row r="39" spans="1:51">
      <c r="A39" s="202">
        <f t="shared" si="0"/>
        <v>28</v>
      </c>
      <c r="B39" s="204"/>
      <c r="C39" s="48"/>
      <c r="D39" s="42"/>
      <c r="E39" s="42"/>
      <c r="F39" s="42"/>
      <c r="G39" s="42"/>
      <c r="H39" s="42"/>
      <c r="I39" s="42"/>
      <c r="J39" s="42"/>
      <c r="K39" s="44"/>
      <c r="L39" s="48"/>
      <c r="M39" s="42"/>
      <c r="N39" s="42"/>
      <c r="O39" s="42"/>
      <c r="P39" s="42"/>
      <c r="Q39" s="42"/>
      <c r="R39" s="42"/>
      <c r="S39" s="44"/>
      <c r="T39" s="207"/>
      <c r="U39" s="208"/>
      <c r="V39" s="209"/>
      <c r="W39" s="220"/>
      <c r="X39" s="221"/>
      <c r="Y39" s="220"/>
      <c r="Z39" s="221"/>
      <c r="AA39" s="215"/>
      <c r="AB39" s="216"/>
      <c r="AC39" s="46"/>
      <c r="AD39" s="24"/>
      <c r="AE39" s="24"/>
      <c r="AF39" s="24"/>
      <c r="AG39" s="51"/>
      <c r="AH39" s="215"/>
      <c r="AI39" s="216"/>
      <c r="AJ39" s="212"/>
      <c r="AK39" s="213"/>
      <c r="AL39" s="215"/>
      <c r="AM39" s="217"/>
      <c r="AN39" s="216"/>
      <c r="AO39" s="205"/>
      <c r="AP39" s="205"/>
      <c r="AQ39" s="205"/>
      <c r="AR39" s="205"/>
      <c r="AS39" s="205"/>
      <c r="AT39" s="205"/>
      <c r="AU39" s="205"/>
      <c r="AV39" s="205"/>
      <c r="AW39" s="205"/>
      <c r="AX39" s="205"/>
      <c r="AY39" s="206"/>
    </row>
    <row r="40" spans="1:51">
      <c r="A40" s="202">
        <f t="shared" si="0"/>
        <v>29</v>
      </c>
      <c r="B40" s="204"/>
      <c r="C40" s="48"/>
      <c r="D40" s="42"/>
      <c r="E40" s="42"/>
      <c r="F40" s="42"/>
      <c r="G40" s="42"/>
      <c r="H40" s="42"/>
      <c r="I40" s="42"/>
      <c r="J40" s="42"/>
      <c r="K40" s="44"/>
      <c r="L40" s="48"/>
      <c r="M40" s="42"/>
      <c r="N40" s="42"/>
      <c r="O40" s="42"/>
      <c r="P40" s="42"/>
      <c r="Q40" s="42"/>
      <c r="R40" s="42"/>
      <c r="S40" s="44"/>
      <c r="T40" s="207"/>
      <c r="U40" s="208"/>
      <c r="V40" s="209"/>
      <c r="W40" s="220"/>
      <c r="X40" s="221"/>
      <c r="Y40" s="220"/>
      <c r="Z40" s="221"/>
      <c r="AA40" s="215"/>
      <c r="AB40" s="216"/>
      <c r="AC40" s="46"/>
      <c r="AD40" s="24"/>
      <c r="AE40" s="24"/>
      <c r="AF40" s="24"/>
      <c r="AG40" s="51"/>
      <c r="AH40" s="215"/>
      <c r="AI40" s="216"/>
      <c r="AJ40" s="212"/>
      <c r="AK40" s="213"/>
      <c r="AL40" s="215"/>
      <c r="AM40" s="217"/>
      <c r="AN40" s="216"/>
      <c r="AO40" s="205"/>
      <c r="AP40" s="205"/>
      <c r="AQ40" s="205"/>
      <c r="AR40" s="205"/>
      <c r="AS40" s="205"/>
      <c r="AT40" s="205"/>
      <c r="AU40" s="205"/>
      <c r="AV40" s="205"/>
      <c r="AW40" s="205"/>
      <c r="AX40" s="205"/>
      <c r="AY40" s="206"/>
    </row>
    <row r="41" spans="1:51">
      <c r="A41" s="218">
        <f t="shared" si="0"/>
        <v>30</v>
      </c>
      <c r="B41" s="219"/>
      <c r="C41" s="48"/>
      <c r="D41" s="42"/>
      <c r="E41" s="42"/>
      <c r="F41" s="42"/>
      <c r="G41" s="42"/>
      <c r="H41" s="42"/>
      <c r="I41" s="42"/>
      <c r="J41" s="42"/>
      <c r="K41" s="44"/>
      <c r="L41" s="48"/>
      <c r="M41" s="42"/>
      <c r="N41" s="42"/>
      <c r="O41" s="42"/>
      <c r="P41" s="42"/>
      <c r="Q41" s="42"/>
      <c r="R41" s="42"/>
      <c r="S41" s="44"/>
      <c r="T41" s="207"/>
      <c r="U41" s="208"/>
      <c r="V41" s="209"/>
      <c r="W41" s="220"/>
      <c r="X41" s="221"/>
      <c r="Y41" s="220"/>
      <c r="Z41" s="221"/>
      <c r="AA41" s="215"/>
      <c r="AB41" s="216"/>
      <c r="AC41" s="46"/>
      <c r="AD41" s="24"/>
      <c r="AE41" s="24"/>
      <c r="AF41" s="24"/>
      <c r="AG41" s="51"/>
      <c r="AH41" s="215"/>
      <c r="AI41" s="216"/>
      <c r="AJ41" s="212"/>
      <c r="AK41" s="213"/>
      <c r="AL41" s="215"/>
      <c r="AM41" s="217"/>
      <c r="AN41" s="216"/>
      <c r="AO41" s="205"/>
      <c r="AP41" s="205"/>
      <c r="AQ41" s="205"/>
      <c r="AR41" s="205"/>
      <c r="AS41" s="205"/>
      <c r="AT41" s="205"/>
      <c r="AU41" s="205"/>
      <c r="AV41" s="205"/>
      <c r="AW41" s="205"/>
      <c r="AX41" s="205"/>
      <c r="AY41" s="206"/>
    </row>
    <row r="42" spans="1:51">
      <c r="A42" s="202">
        <f t="shared" si="0"/>
        <v>31</v>
      </c>
      <c r="B42" s="204"/>
      <c r="C42" s="48"/>
      <c r="D42" s="42"/>
      <c r="E42" s="42"/>
      <c r="F42" s="42"/>
      <c r="G42" s="42"/>
      <c r="H42" s="42"/>
      <c r="I42" s="42"/>
      <c r="J42" s="42"/>
      <c r="K42" s="44"/>
      <c r="L42" s="48"/>
      <c r="M42" s="42"/>
      <c r="N42" s="42"/>
      <c r="O42" s="42"/>
      <c r="P42" s="42"/>
      <c r="Q42" s="42"/>
      <c r="R42" s="42"/>
      <c r="S42" s="44"/>
      <c r="T42" s="207"/>
      <c r="U42" s="208"/>
      <c r="V42" s="209"/>
      <c r="W42" s="220"/>
      <c r="X42" s="221"/>
      <c r="Y42" s="220"/>
      <c r="Z42" s="221"/>
      <c r="AA42" s="215"/>
      <c r="AB42" s="216"/>
      <c r="AC42" s="46"/>
      <c r="AD42" s="24"/>
      <c r="AE42" s="24"/>
      <c r="AF42" s="24"/>
      <c r="AG42" s="51"/>
      <c r="AH42" s="215"/>
      <c r="AI42" s="216"/>
      <c r="AJ42" s="212"/>
      <c r="AK42" s="213"/>
      <c r="AL42" s="215"/>
      <c r="AM42" s="217"/>
      <c r="AN42" s="216"/>
      <c r="AO42" s="205"/>
      <c r="AP42" s="205"/>
      <c r="AQ42" s="205"/>
      <c r="AR42" s="205"/>
      <c r="AS42" s="205"/>
      <c r="AT42" s="205"/>
      <c r="AU42" s="205"/>
      <c r="AV42" s="205"/>
      <c r="AW42" s="205"/>
      <c r="AX42" s="205"/>
      <c r="AY42" s="206"/>
    </row>
    <row r="43" spans="1:51">
      <c r="A43" s="202">
        <f t="shared" si="0"/>
        <v>32</v>
      </c>
      <c r="B43" s="204"/>
      <c r="C43" s="48"/>
      <c r="D43" s="42"/>
      <c r="E43" s="42"/>
      <c r="F43" s="42"/>
      <c r="G43" s="42"/>
      <c r="H43" s="42"/>
      <c r="I43" s="42"/>
      <c r="J43" s="42"/>
      <c r="K43" s="44"/>
      <c r="L43" s="48"/>
      <c r="M43" s="42"/>
      <c r="N43" s="42"/>
      <c r="O43" s="42"/>
      <c r="P43" s="42"/>
      <c r="Q43" s="42"/>
      <c r="R43" s="42"/>
      <c r="S43" s="44"/>
      <c r="T43" s="207"/>
      <c r="U43" s="208"/>
      <c r="V43" s="209"/>
      <c r="W43" s="220"/>
      <c r="X43" s="221"/>
      <c r="Y43" s="220"/>
      <c r="Z43" s="221"/>
      <c r="AA43" s="215"/>
      <c r="AB43" s="216"/>
      <c r="AC43" s="46"/>
      <c r="AD43" s="24"/>
      <c r="AE43" s="24"/>
      <c r="AF43" s="24"/>
      <c r="AG43" s="51"/>
      <c r="AH43" s="215"/>
      <c r="AI43" s="216"/>
      <c r="AJ43" s="212"/>
      <c r="AK43" s="213"/>
      <c r="AL43" s="215"/>
      <c r="AM43" s="217"/>
      <c r="AN43" s="216"/>
      <c r="AO43" s="205"/>
      <c r="AP43" s="205"/>
      <c r="AQ43" s="205"/>
      <c r="AR43" s="205"/>
      <c r="AS43" s="205"/>
      <c r="AT43" s="205"/>
      <c r="AU43" s="205"/>
      <c r="AV43" s="205"/>
      <c r="AW43" s="205"/>
      <c r="AX43" s="205"/>
      <c r="AY43" s="206"/>
    </row>
    <row r="44" spans="1:51">
      <c r="A44" s="202">
        <f t="shared" si="0"/>
        <v>33</v>
      </c>
      <c r="B44" s="204"/>
      <c r="C44" s="48"/>
      <c r="D44" s="42"/>
      <c r="E44" s="42"/>
      <c r="F44" s="42"/>
      <c r="G44" s="42"/>
      <c r="H44" s="42"/>
      <c r="I44" s="42"/>
      <c r="J44" s="42"/>
      <c r="K44" s="44"/>
      <c r="L44" s="48"/>
      <c r="M44" s="42"/>
      <c r="N44" s="42"/>
      <c r="O44" s="42"/>
      <c r="P44" s="42"/>
      <c r="Q44" s="42"/>
      <c r="R44" s="42"/>
      <c r="S44" s="44"/>
      <c r="T44" s="207"/>
      <c r="U44" s="208"/>
      <c r="V44" s="209"/>
      <c r="W44" s="220"/>
      <c r="X44" s="221"/>
      <c r="Y44" s="220"/>
      <c r="Z44" s="221"/>
      <c r="AA44" s="215"/>
      <c r="AB44" s="216"/>
      <c r="AC44" s="46"/>
      <c r="AD44" s="24"/>
      <c r="AE44" s="24"/>
      <c r="AF44" s="24"/>
      <c r="AG44" s="51"/>
      <c r="AH44" s="215"/>
      <c r="AI44" s="216"/>
      <c r="AJ44" s="212"/>
      <c r="AK44" s="213"/>
      <c r="AL44" s="215"/>
      <c r="AM44" s="217"/>
      <c r="AN44" s="216"/>
      <c r="AO44" s="205"/>
      <c r="AP44" s="205"/>
      <c r="AQ44" s="205"/>
      <c r="AR44" s="205"/>
      <c r="AS44" s="205"/>
      <c r="AT44" s="205"/>
      <c r="AU44" s="205"/>
      <c r="AV44" s="205"/>
      <c r="AW44" s="205"/>
      <c r="AX44" s="205"/>
      <c r="AY44" s="206"/>
    </row>
    <row r="45" spans="1:51">
      <c r="A45" s="202">
        <f t="shared" si="0"/>
        <v>34</v>
      </c>
      <c r="B45" s="204"/>
      <c r="C45" s="48"/>
      <c r="D45" s="42"/>
      <c r="E45" s="42"/>
      <c r="F45" s="42"/>
      <c r="G45" s="42"/>
      <c r="H45" s="42"/>
      <c r="I45" s="42"/>
      <c r="J45" s="42"/>
      <c r="K45" s="44"/>
      <c r="L45" s="48"/>
      <c r="M45" s="42"/>
      <c r="N45" s="42"/>
      <c r="O45" s="42"/>
      <c r="P45" s="42"/>
      <c r="Q45" s="42"/>
      <c r="R45" s="42"/>
      <c r="S45" s="44"/>
      <c r="T45" s="207"/>
      <c r="U45" s="208"/>
      <c r="V45" s="209"/>
      <c r="W45" s="220"/>
      <c r="X45" s="221"/>
      <c r="Y45" s="215"/>
      <c r="Z45" s="216"/>
      <c r="AA45" s="215"/>
      <c r="AB45" s="216"/>
      <c r="AC45" s="46"/>
      <c r="AD45" s="24"/>
      <c r="AE45" s="24"/>
      <c r="AF45" s="24"/>
      <c r="AG45" s="51"/>
      <c r="AH45" s="215"/>
      <c r="AI45" s="216"/>
      <c r="AJ45" s="212"/>
      <c r="AK45" s="213"/>
      <c r="AL45" s="215"/>
      <c r="AM45" s="217"/>
      <c r="AN45" s="216"/>
      <c r="AO45" s="205"/>
      <c r="AP45" s="205"/>
      <c r="AQ45" s="205"/>
      <c r="AR45" s="205"/>
      <c r="AS45" s="205"/>
      <c r="AT45" s="205"/>
      <c r="AU45" s="205"/>
      <c r="AV45" s="205"/>
      <c r="AW45" s="205"/>
      <c r="AX45" s="205"/>
      <c r="AY45" s="206"/>
    </row>
    <row r="46" spans="1:51">
      <c r="A46" s="210">
        <f t="shared" si="0"/>
        <v>35</v>
      </c>
      <c r="B46" s="211"/>
      <c r="C46" s="48"/>
      <c r="D46" s="42"/>
      <c r="E46" s="42"/>
      <c r="F46" s="42"/>
      <c r="G46" s="42"/>
      <c r="H46" s="42"/>
      <c r="I46" s="42"/>
      <c r="J46" s="42"/>
      <c r="K46" s="44"/>
      <c r="L46" s="48"/>
      <c r="M46" s="42"/>
      <c r="N46" s="42"/>
      <c r="O46" s="42"/>
      <c r="P46" s="42"/>
      <c r="Q46" s="42"/>
      <c r="R46" s="42"/>
      <c r="S46" s="44"/>
      <c r="T46" s="207"/>
      <c r="U46" s="208"/>
      <c r="V46" s="209"/>
      <c r="W46" s="220"/>
      <c r="X46" s="221"/>
      <c r="Y46" s="225"/>
      <c r="Z46" s="226"/>
      <c r="AA46" s="225"/>
      <c r="AB46" s="226"/>
      <c r="AC46" s="43"/>
      <c r="AD46" s="10"/>
      <c r="AE46" s="10"/>
      <c r="AF46" s="10"/>
      <c r="AG46" s="52"/>
      <c r="AH46" s="225"/>
      <c r="AI46" s="226"/>
      <c r="AJ46" s="227"/>
      <c r="AK46" s="228"/>
      <c r="AL46" s="225"/>
      <c r="AM46" s="229"/>
      <c r="AN46" s="226"/>
      <c r="AO46" s="230"/>
      <c r="AP46" s="230"/>
      <c r="AQ46" s="230"/>
      <c r="AR46" s="230"/>
      <c r="AS46" s="230"/>
      <c r="AT46" s="230"/>
      <c r="AU46" s="230"/>
      <c r="AV46" s="230"/>
      <c r="AW46" s="230"/>
      <c r="AX46" s="230"/>
      <c r="AY46" s="231"/>
    </row>
    <row r="47" spans="1:51">
      <c r="A47" s="210">
        <f t="shared" si="0"/>
        <v>36</v>
      </c>
      <c r="B47" s="211"/>
      <c r="C47" s="48"/>
      <c r="D47" s="42"/>
      <c r="E47" s="42"/>
      <c r="F47" s="42"/>
      <c r="G47" s="42"/>
      <c r="H47" s="42"/>
      <c r="I47" s="42"/>
      <c r="J47" s="42"/>
      <c r="K47" s="44"/>
      <c r="L47" s="48"/>
      <c r="M47" s="42"/>
      <c r="N47" s="42"/>
      <c r="O47" s="42"/>
      <c r="P47" s="42"/>
      <c r="Q47" s="42"/>
      <c r="R47" s="42"/>
      <c r="S47" s="44"/>
      <c r="T47" s="207"/>
      <c r="U47" s="208"/>
      <c r="V47" s="209"/>
      <c r="W47" s="220"/>
      <c r="X47" s="221"/>
      <c r="Y47" s="225"/>
      <c r="Z47" s="226"/>
      <c r="AA47" s="225"/>
      <c r="AB47" s="226"/>
      <c r="AC47" s="43"/>
      <c r="AD47" s="10"/>
      <c r="AE47" s="10"/>
      <c r="AF47" s="10"/>
      <c r="AG47" s="52"/>
      <c r="AH47" s="225"/>
      <c r="AI47" s="226"/>
      <c r="AJ47" s="227"/>
      <c r="AK47" s="228"/>
      <c r="AL47" s="225"/>
      <c r="AM47" s="229"/>
      <c r="AN47" s="226"/>
      <c r="AO47" s="230"/>
      <c r="AP47" s="230"/>
      <c r="AQ47" s="230"/>
      <c r="AR47" s="230"/>
      <c r="AS47" s="230"/>
      <c r="AT47" s="230"/>
      <c r="AU47" s="230"/>
      <c r="AV47" s="230"/>
      <c r="AW47" s="230"/>
      <c r="AX47" s="230"/>
      <c r="AY47" s="231"/>
    </row>
    <row r="48" spans="1:51">
      <c r="A48" s="210">
        <f t="shared" si="0"/>
        <v>37</v>
      </c>
      <c r="B48" s="211"/>
      <c r="C48" s="48"/>
      <c r="D48" s="42"/>
      <c r="E48" s="42"/>
      <c r="F48" s="42"/>
      <c r="G48" s="42"/>
      <c r="H48" s="42"/>
      <c r="I48" s="42"/>
      <c r="J48" s="42"/>
      <c r="K48" s="44"/>
      <c r="L48" s="48"/>
      <c r="M48" s="42"/>
      <c r="N48" s="42"/>
      <c r="O48" s="42"/>
      <c r="P48" s="42"/>
      <c r="Q48" s="42"/>
      <c r="R48" s="42"/>
      <c r="S48" s="44"/>
      <c r="T48" s="207"/>
      <c r="U48" s="208"/>
      <c r="V48" s="209"/>
      <c r="W48" s="220"/>
      <c r="X48" s="221"/>
      <c r="Y48" s="225"/>
      <c r="Z48" s="226"/>
      <c r="AA48" s="225"/>
      <c r="AB48" s="226"/>
      <c r="AC48" s="43"/>
      <c r="AD48" s="10"/>
      <c r="AE48" s="10"/>
      <c r="AF48" s="10"/>
      <c r="AG48" s="52"/>
      <c r="AH48" s="225"/>
      <c r="AI48" s="226"/>
      <c r="AJ48" s="227"/>
      <c r="AK48" s="228"/>
      <c r="AL48" s="225"/>
      <c r="AM48" s="229"/>
      <c r="AN48" s="226"/>
      <c r="AO48" s="230"/>
      <c r="AP48" s="230"/>
      <c r="AQ48" s="230"/>
      <c r="AR48" s="230"/>
      <c r="AS48" s="230"/>
      <c r="AT48" s="230"/>
      <c r="AU48" s="230"/>
      <c r="AV48" s="230"/>
      <c r="AW48" s="230"/>
      <c r="AX48" s="230"/>
      <c r="AY48" s="231"/>
    </row>
    <row r="49" spans="1:51">
      <c r="A49" s="210">
        <f t="shared" si="0"/>
        <v>38</v>
      </c>
      <c r="B49" s="211"/>
      <c r="C49" s="48"/>
      <c r="D49" s="42"/>
      <c r="E49" s="42"/>
      <c r="F49" s="42"/>
      <c r="G49" s="42"/>
      <c r="H49" s="42"/>
      <c r="I49" s="42"/>
      <c r="J49" s="42"/>
      <c r="K49" s="44"/>
      <c r="L49" s="48"/>
      <c r="M49" s="42"/>
      <c r="N49" s="42"/>
      <c r="O49" s="42"/>
      <c r="P49" s="42"/>
      <c r="Q49" s="42"/>
      <c r="R49" s="42"/>
      <c r="S49" s="44"/>
      <c r="T49" s="207"/>
      <c r="U49" s="208"/>
      <c r="V49" s="209"/>
      <c r="W49" s="220"/>
      <c r="X49" s="221"/>
      <c r="Y49" s="225"/>
      <c r="Z49" s="226"/>
      <c r="AA49" s="225"/>
      <c r="AB49" s="226"/>
      <c r="AC49" s="43"/>
      <c r="AD49" s="10"/>
      <c r="AE49" s="10"/>
      <c r="AF49" s="10"/>
      <c r="AG49" s="52"/>
      <c r="AH49" s="225"/>
      <c r="AI49" s="226"/>
      <c r="AJ49" s="227"/>
      <c r="AK49" s="228"/>
      <c r="AL49" s="225"/>
      <c r="AM49" s="229"/>
      <c r="AN49" s="226"/>
      <c r="AO49" s="230"/>
      <c r="AP49" s="230"/>
      <c r="AQ49" s="230"/>
      <c r="AR49" s="230"/>
      <c r="AS49" s="230"/>
      <c r="AT49" s="230"/>
      <c r="AU49" s="230"/>
      <c r="AV49" s="230"/>
      <c r="AW49" s="230"/>
      <c r="AX49" s="230"/>
      <c r="AY49" s="231"/>
    </row>
    <row r="50" spans="1:51">
      <c r="A50" s="210">
        <f t="shared" si="0"/>
        <v>39</v>
      </c>
      <c r="B50" s="211"/>
      <c r="C50" s="48"/>
      <c r="D50" s="42"/>
      <c r="E50" s="42"/>
      <c r="F50" s="42"/>
      <c r="G50" s="42"/>
      <c r="H50" s="42"/>
      <c r="I50" s="42"/>
      <c r="J50" s="42"/>
      <c r="K50" s="44"/>
      <c r="L50" s="48"/>
      <c r="M50" s="42"/>
      <c r="N50" s="42"/>
      <c r="O50" s="42"/>
      <c r="P50" s="42"/>
      <c r="Q50" s="42"/>
      <c r="R50" s="42"/>
      <c r="S50" s="44"/>
      <c r="T50" s="207"/>
      <c r="U50" s="208"/>
      <c r="V50" s="209"/>
      <c r="W50" s="220"/>
      <c r="X50" s="221"/>
      <c r="Y50" s="225"/>
      <c r="Z50" s="226"/>
      <c r="AA50" s="225"/>
      <c r="AB50" s="226"/>
      <c r="AC50" s="43"/>
      <c r="AD50" s="10"/>
      <c r="AE50" s="10"/>
      <c r="AF50" s="10"/>
      <c r="AG50" s="52"/>
      <c r="AH50" s="225"/>
      <c r="AI50" s="226"/>
      <c r="AJ50" s="227"/>
      <c r="AK50" s="228"/>
      <c r="AL50" s="225"/>
      <c r="AM50" s="229"/>
      <c r="AN50" s="226"/>
      <c r="AO50" s="230"/>
      <c r="AP50" s="230"/>
      <c r="AQ50" s="230"/>
      <c r="AR50" s="230"/>
      <c r="AS50" s="230"/>
      <c r="AT50" s="230"/>
      <c r="AU50" s="230"/>
      <c r="AV50" s="230"/>
      <c r="AW50" s="230"/>
      <c r="AX50" s="230"/>
      <c r="AY50" s="231"/>
    </row>
    <row r="51" spans="1:51">
      <c r="A51" s="210">
        <f t="shared" si="0"/>
        <v>40</v>
      </c>
      <c r="B51" s="211"/>
      <c r="C51" s="48"/>
      <c r="D51" s="42"/>
      <c r="E51" s="42"/>
      <c r="F51" s="42"/>
      <c r="G51" s="42"/>
      <c r="H51" s="42"/>
      <c r="I51" s="42"/>
      <c r="J51" s="42"/>
      <c r="K51" s="44"/>
      <c r="L51" s="48"/>
      <c r="M51" s="42"/>
      <c r="N51" s="42"/>
      <c r="O51" s="42"/>
      <c r="P51" s="42"/>
      <c r="Q51" s="42"/>
      <c r="R51" s="42"/>
      <c r="S51" s="44"/>
      <c r="T51" s="207"/>
      <c r="U51" s="208"/>
      <c r="V51" s="209"/>
      <c r="W51" s="220"/>
      <c r="X51" s="221"/>
      <c r="Y51" s="225"/>
      <c r="Z51" s="226"/>
      <c r="AA51" s="225"/>
      <c r="AB51" s="226"/>
      <c r="AC51" s="43"/>
      <c r="AD51" s="10"/>
      <c r="AE51" s="10"/>
      <c r="AF51" s="10"/>
      <c r="AG51" s="52"/>
      <c r="AH51" s="225"/>
      <c r="AI51" s="226"/>
      <c r="AJ51" s="227"/>
      <c r="AK51" s="228"/>
      <c r="AL51" s="225"/>
      <c r="AM51" s="229"/>
      <c r="AN51" s="226"/>
      <c r="AO51" s="230"/>
      <c r="AP51" s="230"/>
      <c r="AQ51" s="230"/>
      <c r="AR51" s="230"/>
      <c r="AS51" s="230"/>
      <c r="AT51" s="230"/>
      <c r="AU51" s="230"/>
      <c r="AV51" s="230"/>
      <c r="AW51" s="230"/>
      <c r="AX51" s="230"/>
      <c r="AY51" s="231"/>
    </row>
    <row r="52" spans="1:51">
      <c r="A52" s="210">
        <f t="shared" si="0"/>
        <v>41</v>
      </c>
      <c r="B52" s="211"/>
      <c r="C52" s="48"/>
      <c r="D52" s="42"/>
      <c r="E52" s="42"/>
      <c r="F52" s="42"/>
      <c r="G52" s="42"/>
      <c r="H52" s="42"/>
      <c r="I52" s="42"/>
      <c r="J52" s="42"/>
      <c r="K52" s="44"/>
      <c r="L52" s="48"/>
      <c r="M52" s="42"/>
      <c r="N52" s="42"/>
      <c r="O52" s="42"/>
      <c r="P52" s="42"/>
      <c r="Q52" s="42"/>
      <c r="R52" s="42"/>
      <c r="S52" s="44"/>
      <c r="T52" s="207"/>
      <c r="U52" s="208"/>
      <c r="V52" s="209"/>
      <c r="W52" s="225"/>
      <c r="X52" s="226"/>
      <c r="Y52" s="225"/>
      <c r="Z52" s="226"/>
      <c r="AA52" s="225"/>
      <c r="AB52" s="226"/>
      <c r="AC52" s="43"/>
      <c r="AD52" s="10"/>
      <c r="AE52" s="10"/>
      <c r="AF52" s="10"/>
      <c r="AG52" s="52"/>
      <c r="AH52" s="225"/>
      <c r="AI52" s="226"/>
      <c r="AJ52" s="227"/>
      <c r="AK52" s="228"/>
      <c r="AL52" s="225"/>
      <c r="AM52" s="229"/>
      <c r="AN52" s="226"/>
      <c r="AO52" s="230"/>
      <c r="AP52" s="230"/>
      <c r="AQ52" s="230"/>
      <c r="AR52" s="230"/>
      <c r="AS52" s="230"/>
      <c r="AT52" s="230"/>
      <c r="AU52" s="230"/>
      <c r="AV52" s="230"/>
      <c r="AW52" s="230"/>
      <c r="AX52" s="230"/>
      <c r="AY52" s="231"/>
    </row>
    <row r="53" spans="1:51">
      <c r="A53" s="210">
        <f t="shared" si="0"/>
        <v>42</v>
      </c>
      <c r="B53" s="211"/>
      <c r="C53" s="48"/>
      <c r="D53" s="42"/>
      <c r="E53" s="42"/>
      <c r="F53" s="42"/>
      <c r="G53" s="42"/>
      <c r="H53" s="42"/>
      <c r="I53" s="42"/>
      <c r="J53" s="42"/>
      <c r="K53" s="44"/>
      <c r="L53" s="48"/>
      <c r="M53" s="42"/>
      <c r="N53" s="42"/>
      <c r="O53" s="42"/>
      <c r="P53" s="42"/>
      <c r="Q53" s="42"/>
      <c r="R53" s="42"/>
      <c r="S53" s="44"/>
      <c r="T53" s="207"/>
      <c r="U53" s="208"/>
      <c r="V53" s="209"/>
      <c r="W53" s="225"/>
      <c r="X53" s="226"/>
      <c r="Y53" s="225"/>
      <c r="Z53" s="226"/>
      <c r="AA53" s="225"/>
      <c r="AB53" s="226"/>
      <c r="AC53" s="43"/>
      <c r="AD53" s="10"/>
      <c r="AE53" s="10"/>
      <c r="AF53" s="10"/>
      <c r="AG53" s="52"/>
      <c r="AH53" s="225"/>
      <c r="AI53" s="226"/>
      <c r="AJ53" s="227"/>
      <c r="AK53" s="228"/>
      <c r="AL53" s="225"/>
      <c r="AM53" s="229"/>
      <c r="AN53" s="226"/>
      <c r="AO53" s="230"/>
      <c r="AP53" s="230"/>
      <c r="AQ53" s="230"/>
      <c r="AR53" s="230"/>
      <c r="AS53" s="230"/>
      <c r="AT53" s="230"/>
      <c r="AU53" s="230"/>
      <c r="AV53" s="230"/>
      <c r="AW53" s="230"/>
      <c r="AX53" s="230"/>
      <c r="AY53" s="231"/>
    </row>
    <row r="54" spans="1:51">
      <c r="A54" s="210">
        <f t="shared" si="0"/>
        <v>43</v>
      </c>
      <c r="B54" s="211"/>
      <c r="C54" s="48"/>
      <c r="D54" s="42"/>
      <c r="E54" s="42"/>
      <c r="F54" s="42"/>
      <c r="G54" s="42"/>
      <c r="H54" s="42"/>
      <c r="I54" s="42"/>
      <c r="J54" s="42"/>
      <c r="K54" s="44"/>
      <c r="L54" s="48"/>
      <c r="M54" s="42"/>
      <c r="N54" s="42"/>
      <c r="O54" s="42"/>
      <c r="P54" s="42"/>
      <c r="Q54" s="42"/>
      <c r="R54" s="42"/>
      <c r="S54" s="44"/>
      <c r="T54" s="207"/>
      <c r="U54" s="208"/>
      <c r="V54" s="209"/>
      <c r="W54" s="225"/>
      <c r="X54" s="226"/>
      <c r="Y54" s="225"/>
      <c r="Z54" s="226"/>
      <c r="AA54" s="225"/>
      <c r="AB54" s="226"/>
      <c r="AC54" s="43"/>
      <c r="AD54" s="10"/>
      <c r="AE54" s="10"/>
      <c r="AF54" s="10"/>
      <c r="AG54" s="52"/>
      <c r="AH54" s="225"/>
      <c r="AI54" s="226"/>
      <c r="AJ54" s="227"/>
      <c r="AK54" s="228"/>
      <c r="AL54" s="225"/>
      <c r="AM54" s="229"/>
      <c r="AN54" s="226"/>
      <c r="AO54" s="230"/>
      <c r="AP54" s="230"/>
      <c r="AQ54" s="230"/>
      <c r="AR54" s="230"/>
      <c r="AS54" s="230"/>
      <c r="AT54" s="230"/>
      <c r="AU54" s="230"/>
      <c r="AV54" s="230"/>
      <c r="AW54" s="230"/>
      <c r="AX54" s="230"/>
      <c r="AY54" s="231"/>
    </row>
  </sheetData>
  <mergeCells count="455">
    <mergeCell ref="AO1:AS1"/>
    <mergeCell ref="AT1:AW1"/>
    <mergeCell ref="AX1:AY1"/>
    <mergeCell ref="G2:K2"/>
    <mergeCell ref="AC2:AE5"/>
    <mergeCell ref="AF2:AH5"/>
    <mergeCell ref="AI2:AK2"/>
    <mergeCell ref="AL2:AN2"/>
    <mergeCell ref="AO2:AS2"/>
    <mergeCell ref="AT2:AW2"/>
    <mergeCell ref="G1:K1"/>
    <mergeCell ref="AC1:AE1"/>
    <mergeCell ref="AF1:AH1"/>
    <mergeCell ref="AI1:AK1"/>
    <mergeCell ref="AL1:AN1"/>
    <mergeCell ref="AT4:AW4"/>
    <mergeCell ref="G5:K5"/>
    <mergeCell ref="AL5:AN5"/>
    <mergeCell ref="AO5:AS5"/>
    <mergeCell ref="AT5:AW5"/>
    <mergeCell ref="A6:F8"/>
    <mergeCell ref="G6:K6"/>
    <mergeCell ref="L6:AB6"/>
    <mergeCell ref="AC6:AG6"/>
    <mergeCell ref="AH6:AY6"/>
    <mergeCell ref="AX2:AY5"/>
    <mergeCell ref="G3:K3"/>
    <mergeCell ref="AI3:AK3"/>
    <mergeCell ref="AL3:AN3"/>
    <mergeCell ref="AO3:AS3"/>
    <mergeCell ref="AT3:AW3"/>
    <mergeCell ref="G4:K4"/>
    <mergeCell ref="AI4:AK5"/>
    <mergeCell ref="AL4:AN4"/>
    <mergeCell ref="AO4:AS4"/>
    <mergeCell ref="A1:F5"/>
    <mergeCell ref="G7:K7"/>
    <mergeCell ref="L7:AB7"/>
    <mergeCell ref="AC7:AG7"/>
    <mergeCell ref="AH7:AY7"/>
    <mergeCell ref="G8:K8"/>
    <mergeCell ref="L8:AB8"/>
    <mergeCell ref="AC8:AG8"/>
    <mergeCell ref="AH8:AY8"/>
    <mergeCell ref="AC10:AG10"/>
    <mergeCell ref="AH10:AI10"/>
    <mergeCell ref="AJ10:AK11"/>
    <mergeCell ref="AL10:AN11"/>
    <mergeCell ref="AO10:AY11"/>
    <mergeCell ref="AA11:AB11"/>
    <mergeCell ref="AH11:AI11"/>
    <mergeCell ref="A10:B11"/>
    <mergeCell ref="C10:K11"/>
    <mergeCell ref="L10:S11"/>
    <mergeCell ref="T10:V11"/>
    <mergeCell ref="W10:X11"/>
    <mergeCell ref="Y10:Z11"/>
    <mergeCell ref="A13:B13"/>
    <mergeCell ref="L13:S13"/>
    <mergeCell ref="T13:V13"/>
    <mergeCell ref="W13:X13"/>
    <mergeCell ref="A12:B12"/>
    <mergeCell ref="L12:S12"/>
    <mergeCell ref="T12:V12"/>
    <mergeCell ref="W12:X12"/>
    <mergeCell ref="AA10:AB10"/>
    <mergeCell ref="Y13:Z13"/>
    <mergeCell ref="AA13:AB13"/>
    <mergeCell ref="AH13:AI13"/>
    <mergeCell ref="AJ13:AK13"/>
    <mergeCell ref="AL13:AN13"/>
    <mergeCell ref="AO13:AY13"/>
    <mergeCell ref="AA12:AB12"/>
    <mergeCell ref="AH12:AI12"/>
    <mergeCell ref="AJ12:AK12"/>
    <mergeCell ref="AL12:AN12"/>
    <mergeCell ref="AO12:AY12"/>
    <mergeCell ref="Y12:Z12"/>
    <mergeCell ref="Y14:Z14"/>
    <mergeCell ref="A15:B15"/>
    <mergeCell ref="L15:S15"/>
    <mergeCell ref="T15:V15"/>
    <mergeCell ref="W15:X15"/>
    <mergeCell ref="A14:B14"/>
    <mergeCell ref="L14:S14"/>
    <mergeCell ref="T14:V14"/>
    <mergeCell ref="W14:X14"/>
    <mergeCell ref="AA15:AB15"/>
    <mergeCell ref="AH15:AI15"/>
    <mergeCell ref="AJ15:AK15"/>
    <mergeCell ref="AL15:AN15"/>
    <mergeCell ref="AO15:AY15"/>
    <mergeCell ref="AA14:AB14"/>
    <mergeCell ref="AH14:AI14"/>
    <mergeCell ref="AJ14:AK14"/>
    <mergeCell ref="AL14:AN14"/>
    <mergeCell ref="AO14:AY14"/>
    <mergeCell ref="A17:B17"/>
    <mergeCell ref="L17:S17"/>
    <mergeCell ref="T17:V17"/>
    <mergeCell ref="W17:X17"/>
    <mergeCell ref="A16:B16"/>
    <mergeCell ref="L16:S16"/>
    <mergeCell ref="T16:V16"/>
    <mergeCell ref="W16:X16"/>
    <mergeCell ref="Y15:Z15"/>
    <mergeCell ref="Y17:Z17"/>
    <mergeCell ref="AA17:AB17"/>
    <mergeCell ref="AH17:AI17"/>
    <mergeCell ref="AJ17:AK17"/>
    <mergeCell ref="AL17:AN17"/>
    <mergeCell ref="AO17:AY17"/>
    <mergeCell ref="AA16:AB16"/>
    <mergeCell ref="AH16:AI16"/>
    <mergeCell ref="AJ16:AK16"/>
    <mergeCell ref="AL16:AN16"/>
    <mergeCell ref="AO16:AY16"/>
    <mergeCell ref="Y16:Z16"/>
    <mergeCell ref="Y18:Z18"/>
    <mergeCell ref="A19:B19"/>
    <mergeCell ref="L19:S19"/>
    <mergeCell ref="T19:V19"/>
    <mergeCell ref="W19:X19"/>
    <mergeCell ref="A18:B18"/>
    <mergeCell ref="L18:S18"/>
    <mergeCell ref="T18:V18"/>
    <mergeCell ref="W18:X18"/>
    <mergeCell ref="AA19:AB19"/>
    <mergeCell ref="AH19:AI19"/>
    <mergeCell ref="AJ19:AK19"/>
    <mergeCell ref="AL19:AN19"/>
    <mergeCell ref="AO19:AY19"/>
    <mergeCell ref="AA18:AB18"/>
    <mergeCell ref="AH18:AI18"/>
    <mergeCell ref="AJ18:AK18"/>
    <mergeCell ref="AL18:AN18"/>
    <mergeCell ref="AO18:AY18"/>
    <mergeCell ref="A21:B21"/>
    <mergeCell ref="L21:S21"/>
    <mergeCell ref="T21:V21"/>
    <mergeCell ref="W21:X21"/>
    <mergeCell ref="A20:B20"/>
    <mergeCell ref="L20:S20"/>
    <mergeCell ref="T20:V20"/>
    <mergeCell ref="W20:X20"/>
    <mergeCell ref="Y19:Z19"/>
    <mergeCell ref="Y21:Z21"/>
    <mergeCell ref="AA21:AB21"/>
    <mergeCell ref="AH21:AI21"/>
    <mergeCell ref="AJ21:AK21"/>
    <mergeCell ref="AL21:AN21"/>
    <mergeCell ref="AO21:AY21"/>
    <mergeCell ref="AA20:AB20"/>
    <mergeCell ref="AH20:AI20"/>
    <mergeCell ref="AJ20:AK20"/>
    <mergeCell ref="AL20:AN20"/>
    <mergeCell ref="AO20:AY20"/>
    <mergeCell ref="Y20:Z20"/>
    <mergeCell ref="AJ22:AK22"/>
    <mergeCell ref="AL22:AN22"/>
    <mergeCell ref="AO22:AY22"/>
    <mergeCell ref="A23:B23"/>
    <mergeCell ref="T23:V23"/>
    <mergeCell ref="W23:X23"/>
    <mergeCell ref="Y23:Z23"/>
    <mergeCell ref="AA23:AB23"/>
    <mergeCell ref="AH23:AI23"/>
    <mergeCell ref="AJ23:AK23"/>
    <mergeCell ref="A22:B22"/>
    <mergeCell ref="T22:V22"/>
    <mergeCell ref="W22:X22"/>
    <mergeCell ref="Y22:Z22"/>
    <mergeCell ref="AA22:AB22"/>
    <mergeCell ref="AH22:AI22"/>
    <mergeCell ref="AL23:AN23"/>
    <mergeCell ref="AO23:AY23"/>
    <mergeCell ref="A24:B24"/>
    <mergeCell ref="T24:V24"/>
    <mergeCell ref="W24:X24"/>
    <mergeCell ref="Y24:Z24"/>
    <mergeCell ref="AA24:AB24"/>
    <mergeCell ref="AH24:AI24"/>
    <mergeCell ref="AJ24:AK24"/>
    <mergeCell ref="AL24:AN24"/>
    <mergeCell ref="AO24:AY24"/>
    <mergeCell ref="A25:B25"/>
    <mergeCell ref="T25:V25"/>
    <mergeCell ref="W25:X25"/>
    <mergeCell ref="Y25:Z25"/>
    <mergeCell ref="AA25:AB25"/>
    <mergeCell ref="AH25:AI25"/>
    <mergeCell ref="AJ25:AK25"/>
    <mergeCell ref="AL25:AN25"/>
    <mergeCell ref="AO25:AY25"/>
    <mergeCell ref="AJ26:AK26"/>
    <mergeCell ref="AL26:AN26"/>
    <mergeCell ref="AO26:AY26"/>
    <mergeCell ref="A27:B27"/>
    <mergeCell ref="T27:V27"/>
    <mergeCell ref="W27:X27"/>
    <mergeCell ref="Y27:Z27"/>
    <mergeCell ref="AA27:AB27"/>
    <mergeCell ref="AH27:AI27"/>
    <mergeCell ref="AJ27:AK27"/>
    <mergeCell ref="A26:B26"/>
    <mergeCell ref="T26:V26"/>
    <mergeCell ref="W26:X26"/>
    <mergeCell ref="Y26:Z26"/>
    <mergeCell ref="AA26:AB26"/>
    <mergeCell ref="AH26:AI26"/>
    <mergeCell ref="AL27:AN27"/>
    <mergeCell ref="AO27:AY27"/>
    <mergeCell ref="A28:B28"/>
    <mergeCell ref="T28:V28"/>
    <mergeCell ref="W28:X28"/>
    <mergeCell ref="Y28:Z28"/>
    <mergeCell ref="AA28:AB28"/>
    <mergeCell ref="AH28:AI28"/>
    <mergeCell ref="AJ28:AK28"/>
    <mergeCell ref="AL28:AN28"/>
    <mergeCell ref="AO28:AY28"/>
    <mergeCell ref="A29:B29"/>
    <mergeCell ref="T29:V29"/>
    <mergeCell ref="W29:X29"/>
    <mergeCell ref="Y29:Z29"/>
    <mergeCell ref="AA29:AB29"/>
    <mergeCell ref="AH29:AI29"/>
    <mergeCell ref="AJ29:AK29"/>
    <mergeCell ref="AL29:AN29"/>
    <mergeCell ref="AO29:AY29"/>
    <mergeCell ref="AJ30:AK30"/>
    <mergeCell ref="AL30:AN30"/>
    <mergeCell ref="AO30:AY30"/>
    <mergeCell ref="A31:B31"/>
    <mergeCell ref="T31:V31"/>
    <mergeCell ref="W31:X31"/>
    <mergeCell ref="Y31:Z31"/>
    <mergeCell ref="AA31:AB31"/>
    <mergeCell ref="AH31:AI31"/>
    <mergeCell ref="AJ31:AK31"/>
    <mergeCell ref="A30:B30"/>
    <mergeCell ref="T30:V30"/>
    <mergeCell ref="W30:X30"/>
    <mergeCell ref="Y30:Z30"/>
    <mergeCell ref="AA30:AB30"/>
    <mergeCell ref="AH30:AI30"/>
    <mergeCell ref="AL31:AN31"/>
    <mergeCell ref="AO31:AY31"/>
    <mergeCell ref="A32:B32"/>
    <mergeCell ref="T32:V32"/>
    <mergeCell ref="W32:X32"/>
    <mergeCell ref="Y32:Z32"/>
    <mergeCell ref="AA32:AB32"/>
    <mergeCell ref="AH32:AI32"/>
    <mergeCell ref="AJ32:AK32"/>
    <mergeCell ref="AL32:AN32"/>
    <mergeCell ref="AO32:AY32"/>
    <mergeCell ref="A33:B33"/>
    <mergeCell ref="T33:V33"/>
    <mergeCell ref="W33:X33"/>
    <mergeCell ref="Y33:Z33"/>
    <mergeCell ref="AA33:AB33"/>
    <mergeCell ref="AH33:AI33"/>
    <mergeCell ref="AJ33:AK33"/>
    <mergeCell ref="AL33:AN33"/>
    <mergeCell ref="AO33:AY33"/>
    <mergeCell ref="AJ34:AK34"/>
    <mergeCell ref="AL34:AN34"/>
    <mergeCell ref="AO34:AY34"/>
    <mergeCell ref="A35:B35"/>
    <mergeCell ref="T35:V35"/>
    <mergeCell ref="W35:X35"/>
    <mergeCell ref="Y35:Z35"/>
    <mergeCell ref="AA35:AB35"/>
    <mergeCell ref="AH35:AI35"/>
    <mergeCell ref="AJ35:AK35"/>
    <mergeCell ref="A34:B34"/>
    <mergeCell ref="T34:V34"/>
    <mergeCell ref="W34:X34"/>
    <mergeCell ref="Y34:Z34"/>
    <mergeCell ref="AA34:AB34"/>
    <mergeCell ref="AH34:AI34"/>
    <mergeCell ref="AL35:AN35"/>
    <mergeCell ref="AO35:AY35"/>
    <mergeCell ref="A36:B36"/>
    <mergeCell ref="T36:V36"/>
    <mergeCell ref="W36:X36"/>
    <mergeCell ref="Y36:Z36"/>
    <mergeCell ref="AA36:AB36"/>
    <mergeCell ref="AH36:AI36"/>
    <mergeCell ref="AJ36:AK36"/>
    <mergeCell ref="AL36:AN36"/>
    <mergeCell ref="AO36:AY36"/>
    <mergeCell ref="A37:B37"/>
    <mergeCell ref="T37:V37"/>
    <mergeCell ref="W37:X37"/>
    <mergeCell ref="Y37:Z37"/>
    <mergeCell ref="AA37:AB37"/>
    <mergeCell ref="AH37:AI37"/>
    <mergeCell ref="AJ37:AK37"/>
    <mergeCell ref="AL37:AN37"/>
    <mergeCell ref="AO37:AY37"/>
    <mergeCell ref="AJ38:AK38"/>
    <mergeCell ref="AL38:AN38"/>
    <mergeCell ref="AO38:AY38"/>
    <mergeCell ref="A39:B39"/>
    <mergeCell ref="T39:V39"/>
    <mergeCell ref="W39:X39"/>
    <mergeCell ref="Y39:Z39"/>
    <mergeCell ref="AA39:AB39"/>
    <mergeCell ref="AH39:AI39"/>
    <mergeCell ref="AJ39:AK39"/>
    <mergeCell ref="A38:B38"/>
    <mergeCell ref="T38:V38"/>
    <mergeCell ref="W38:X38"/>
    <mergeCell ref="Y38:Z38"/>
    <mergeCell ref="AA38:AB38"/>
    <mergeCell ref="AH38:AI38"/>
    <mergeCell ref="AL39:AN39"/>
    <mergeCell ref="AO39:AY39"/>
    <mergeCell ref="A40:B40"/>
    <mergeCell ref="T40:V40"/>
    <mergeCell ref="W40:X40"/>
    <mergeCell ref="Y40:Z40"/>
    <mergeCell ref="AA40:AB40"/>
    <mergeCell ref="AH40:AI40"/>
    <mergeCell ref="AJ40:AK40"/>
    <mergeCell ref="AL40:AN40"/>
    <mergeCell ref="AO40:AY40"/>
    <mergeCell ref="A41:B41"/>
    <mergeCell ref="T41:V41"/>
    <mergeCell ref="W41:X41"/>
    <mergeCell ref="Y41:Z41"/>
    <mergeCell ref="AA41:AB41"/>
    <mergeCell ref="AH41:AI41"/>
    <mergeCell ref="AJ41:AK41"/>
    <mergeCell ref="AL41:AN41"/>
    <mergeCell ref="AO41:AY41"/>
    <mergeCell ref="AJ42:AK42"/>
    <mergeCell ref="AL42:AN42"/>
    <mergeCell ref="AO42:AY42"/>
    <mergeCell ref="A43:B43"/>
    <mergeCell ref="T43:V43"/>
    <mergeCell ref="W43:X43"/>
    <mergeCell ref="Y43:Z43"/>
    <mergeCell ref="AA43:AB43"/>
    <mergeCell ref="AH43:AI43"/>
    <mergeCell ref="AJ43:AK43"/>
    <mergeCell ref="A42:B42"/>
    <mergeCell ref="T42:V42"/>
    <mergeCell ref="W42:X42"/>
    <mergeCell ref="Y42:Z42"/>
    <mergeCell ref="AA42:AB42"/>
    <mergeCell ref="AH42:AI42"/>
    <mergeCell ref="AL43:AN43"/>
    <mergeCell ref="AO43:AY43"/>
    <mergeCell ref="A44:B44"/>
    <mergeCell ref="T44:V44"/>
    <mergeCell ref="W44:X44"/>
    <mergeCell ref="Y44:Z44"/>
    <mergeCell ref="AA44:AB44"/>
    <mergeCell ref="AH44:AI44"/>
    <mergeCell ref="AJ44:AK44"/>
    <mergeCell ref="AL44:AN44"/>
    <mergeCell ref="AO44:AY44"/>
    <mergeCell ref="A45:B45"/>
    <mergeCell ref="T45:V45"/>
    <mergeCell ref="W45:X45"/>
    <mergeCell ref="Y45:Z45"/>
    <mergeCell ref="AA45:AB45"/>
    <mergeCell ref="AH45:AI45"/>
    <mergeCell ref="AJ45:AK45"/>
    <mergeCell ref="AL45:AN45"/>
    <mergeCell ref="AO45:AY45"/>
    <mergeCell ref="AJ46:AK46"/>
    <mergeCell ref="AL46:AN46"/>
    <mergeCell ref="AO46:AY46"/>
    <mergeCell ref="A47:B47"/>
    <mergeCell ref="T47:V47"/>
    <mergeCell ref="W47:X47"/>
    <mergeCell ref="Y47:Z47"/>
    <mergeCell ref="AA47:AB47"/>
    <mergeCell ref="AH47:AI47"/>
    <mergeCell ref="AJ47:AK47"/>
    <mergeCell ref="A46:B46"/>
    <mergeCell ref="T46:V46"/>
    <mergeCell ref="W46:X46"/>
    <mergeCell ref="Y46:Z46"/>
    <mergeCell ref="AA46:AB46"/>
    <mergeCell ref="AH46:AI46"/>
    <mergeCell ref="AL47:AN47"/>
    <mergeCell ref="AO47:AY47"/>
    <mergeCell ref="A48:B48"/>
    <mergeCell ref="T48:V48"/>
    <mergeCell ref="W48:X48"/>
    <mergeCell ref="Y48:Z48"/>
    <mergeCell ref="AA48:AB48"/>
    <mergeCell ref="AH48:AI48"/>
    <mergeCell ref="AJ48:AK48"/>
    <mergeCell ref="AL48:AN48"/>
    <mergeCell ref="AO48:AY48"/>
    <mergeCell ref="A49:B49"/>
    <mergeCell ref="T49:V49"/>
    <mergeCell ref="W49:X49"/>
    <mergeCell ref="Y49:Z49"/>
    <mergeCell ref="AA49:AB49"/>
    <mergeCell ref="AH49:AI49"/>
    <mergeCell ref="AJ49:AK49"/>
    <mergeCell ref="AL49:AN49"/>
    <mergeCell ref="AO49:AY49"/>
    <mergeCell ref="AJ50:AK50"/>
    <mergeCell ref="AL50:AN50"/>
    <mergeCell ref="AO50:AY50"/>
    <mergeCell ref="A51:B51"/>
    <mergeCell ref="T51:V51"/>
    <mergeCell ref="W51:X51"/>
    <mergeCell ref="Y51:Z51"/>
    <mergeCell ref="AA51:AB51"/>
    <mergeCell ref="AH51:AI51"/>
    <mergeCell ref="AJ51:AK51"/>
    <mergeCell ref="A50:B50"/>
    <mergeCell ref="T50:V50"/>
    <mergeCell ref="W50:X50"/>
    <mergeCell ref="Y50:Z50"/>
    <mergeCell ref="AA50:AB50"/>
    <mergeCell ref="AH50:AI50"/>
    <mergeCell ref="AL51:AN51"/>
    <mergeCell ref="AO51:AY51"/>
    <mergeCell ref="A52:B52"/>
    <mergeCell ref="T52:V52"/>
    <mergeCell ref="W52:X52"/>
    <mergeCell ref="Y52:Z52"/>
    <mergeCell ref="AA52:AB52"/>
    <mergeCell ref="AH52:AI52"/>
    <mergeCell ref="AJ52:AK52"/>
    <mergeCell ref="AL52:AN52"/>
    <mergeCell ref="AO52:AY52"/>
    <mergeCell ref="A53:B53"/>
    <mergeCell ref="T53:V53"/>
    <mergeCell ref="W53:X53"/>
    <mergeCell ref="Y53:Z53"/>
    <mergeCell ref="AA53:AB53"/>
    <mergeCell ref="AH53:AI53"/>
    <mergeCell ref="AJ53:AK53"/>
    <mergeCell ref="AL53:AN53"/>
    <mergeCell ref="AO53:AY53"/>
    <mergeCell ref="AJ54:AK54"/>
    <mergeCell ref="AL54:AN54"/>
    <mergeCell ref="AO54:AY54"/>
    <mergeCell ref="A54:B54"/>
    <mergeCell ref="T54:V54"/>
    <mergeCell ref="W54:X54"/>
    <mergeCell ref="Y54:Z54"/>
    <mergeCell ref="AA54:AB54"/>
    <mergeCell ref="AH54:AI54"/>
  </mergeCells>
  <phoneticPr fontId="23"/>
  <dataValidations count="1">
    <dataValidation type="list" allowBlank="1" showInputMessage="1" showErrorMessage="1" sqref="T54:V54 T50:T53 T12:V49" xr:uid="{B6538527-E516-42DA-BF18-E062ACC71C08}">
      <formula1>型候補</formula1>
    </dataValidation>
  </dataValidations>
  <hyperlinks>
    <hyperlink ref="A1:F5" location="テーブル一覧!A1" display="テーブル一覧!A1" xr:uid="{4CDD0E16-507E-4A11-8DE8-462141A7A66C}"/>
  </hyperlinks>
  <pageMargins left="0.70866141732283472" right="0.70866141732283472" top="0.74803149606299213" bottom="0.74803149606299213" header="0.31496062992125984" footer="0.31496062992125984"/>
  <pageSetup paperSize="9" scale="83" fitToHeight="0" orientation="landscape" horizontalDpi="4294967294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620AD-BFED-4382-9FAC-DF16A2FEDBED}">
  <sheetPr codeName="Sheet42">
    <pageSetUpPr fitToPage="1"/>
  </sheetPr>
  <dimension ref="A1:AY54"/>
  <sheetViews>
    <sheetView view="pageBreakPreview" zoomScaleNormal="100" zoomScaleSheetLayoutView="100" workbookViewId="0">
      <selection activeCell="C32" sqref="C32"/>
    </sheetView>
  </sheetViews>
  <sheetFormatPr defaultColWidth="3.83203125" defaultRowHeight="12"/>
  <cols>
    <col min="1" max="1" width="3.83203125" style="7" customWidth="1"/>
    <col min="2" max="3" width="3.83203125" style="8"/>
    <col min="4" max="49" width="3.83203125" style="7"/>
    <col min="50" max="50" width="4" style="7" customWidth="1"/>
    <col min="51" max="16384" width="3.83203125" style="7"/>
  </cols>
  <sheetData>
    <row r="1" spans="1:51" s="2" customFormat="1">
      <c r="A1" s="162" t="str">
        <f>L5</f>
        <v>テーブル定義書</v>
      </c>
      <c r="B1" s="163"/>
      <c r="C1" s="163"/>
      <c r="D1" s="163"/>
      <c r="E1" s="163"/>
      <c r="F1" s="164"/>
      <c r="G1" s="123" t="s">
        <v>59</v>
      </c>
      <c r="H1" s="113"/>
      <c r="I1" s="113"/>
      <c r="J1" s="113"/>
      <c r="K1" s="113"/>
      <c r="L1" s="1">
        <f>表紙!B8</f>
        <v>0</v>
      </c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24"/>
      <c r="AD1" s="124"/>
      <c r="AE1" s="124"/>
      <c r="AF1" s="124"/>
      <c r="AG1" s="124"/>
      <c r="AH1" s="124"/>
      <c r="AI1" s="113" t="s">
        <v>60</v>
      </c>
      <c r="AJ1" s="113"/>
      <c r="AK1" s="113"/>
      <c r="AL1" s="113" t="s">
        <v>61</v>
      </c>
      <c r="AM1" s="113"/>
      <c r="AN1" s="113"/>
      <c r="AO1" s="113" t="s">
        <v>62</v>
      </c>
      <c r="AP1" s="113"/>
      <c r="AQ1" s="113"/>
      <c r="AR1" s="113"/>
      <c r="AS1" s="113"/>
      <c r="AT1" s="113" t="s">
        <v>55</v>
      </c>
      <c r="AU1" s="113"/>
      <c r="AV1" s="113"/>
      <c r="AW1" s="113"/>
      <c r="AX1" s="113" t="s">
        <v>63</v>
      </c>
      <c r="AY1" s="114"/>
    </row>
    <row r="2" spans="1:51" s="2" customFormat="1">
      <c r="A2" s="165"/>
      <c r="B2" s="166"/>
      <c r="C2" s="166"/>
      <c r="D2" s="166"/>
      <c r="E2" s="166"/>
      <c r="F2" s="167"/>
      <c r="G2" s="115" t="s">
        <v>64</v>
      </c>
      <c r="H2" s="116"/>
      <c r="I2" s="116"/>
      <c r="J2" s="116"/>
      <c r="K2" s="116"/>
      <c r="L2" s="3">
        <f>表紙!M8</f>
        <v>0</v>
      </c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117"/>
      <c r="AD2" s="117"/>
      <c r="AE2" s="117"/>
      <c r="AF2" s="117"/>
      <c r="AG2" s="117"/>
      <c r="AH2" s="117"/>
      <c r="AI2" s="119" t="s">
        <v>65</v>
      </c>
      <c r="AJ2" s="119"/>
      <c r="AK2" s="119"/>
      <c r="AL2" s="120" t="s">
        <v>73</v>
      </c>
      <c r="AM2" s="120"/>
      <c r="AN2" s="120"/>
      <c r="AO2" s="121"/>
      <c r="AP2" s="121"/>
      <c r="AQ2" s="122"/>
      <c r="AR2" s="122"/>
      <c r="AS2" s="122"/>
      <c r="AT2" s="122"/>
      <c r="AU2" s="122"/>
      <c r="AV2" s="122"/>
      <c r="AW2" s="122"/>
      <c r="AX2" s="150" t="s">
        <v>74</v>
      </c>
      <c r="AY2" s="151"/>
    </row>
    <row r="3" spans="1:51" s="2" customFormat="1">
      <c r="A3" s="165"/>
      <c r="B3" s="166"/>
      <c r="C3" s="166"/>
      <c r="D3" s="166"/>
      <c r="E3" s="166"/>
      <c r="F3" s="167"/>
      <c r="G3" s="154" t="s">
        <v>66</v>
      </c>
      <c r="H3" s="119"/>
      <c r="I3" s="119"/>
      <c r="J3" s="119"/>
      <c r="K3" s="119"/>
      <c r="L3" s="4" t="s">
        <v>76</v>
      </c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117"/>
      <c r="AD3" s="117"/>
      <c r="AE3" s="117"/>
      <c r="AF3" s="117"/>
      <c r="AG3" s="117"/>
      <c r="AH3" s="117"/>
      <c r="AI3" s="155" t="s">
        <v>67</v>
      </c>
      <c r="AJ3" s="155"/>
      <c r="AK3" s="155"/>
      <c r="AL3" s="156"/>
      <c r="AM3" s="156"/>
      <c r="AN3" s="156"/>
      <c r="AO3" s="157" t="str">
        <f>IF( $AL3 &lt;&gt; "", VLOOKUP( $AL3, 表紙!$B$15:$AE$47, 5, FALSE ), "" )</f>
        <v/>
      </c>
      <c r="AP3" s="157"/>
      <c r="AQ3" s="158"/>
      <c r="AR3" s="158"/>
      <c r="AS3" s="158"/>
      <c r="AT3" s="158" t="str">
        <f>IF( $AL3 &lt;&gt; "", VLOOKUP( $AL3, 表紙!$B$15:$AE$47, 28, FALSE ), "" )</f>
        <v/>
      </c>
      <c r="AU3" s="158"/>
      <c r="AV3" s="158"/>
      <c r="AW3" s="158"/>
      <c r="AX3" s="150"/>
      <c r="AY3" s="151"/>
    </row>
    <row r="4" spans="1:51" s="2" customFormat="1">
      <c r="A4" s="165"/>
      <c r="B4" s="166"/>
      <c r="C4" s="166"/>
      <c r="D4" s="166"/>
      <c r="E4" s="166"/>
      <c r="F4" s="167"/>
      <c r="G4" s="159" t="s">
        <v>75</v>
      </c>
      <c r="H4" s="155"/>
      <c r="I4" s="155"/>
      <c r="J4" s="155"/>
      <c r="K4" s="15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117"/>
      <c r="AD4" s="117"/>
      <c r="AE4" s="117"/>
      <c r="AF4" s="117"/>
      <c r="AG4" s="117"/>
      <c r="AH4" s="117"/>
      <c r="AI4" s="155" t="s">
        <v>68</v>
      </c>
      <c r="AJ4" s="155"/>
      <c r="AK4" s="155"/>
      <c r="AL4" s="156"/>
      <c r="AM4" s="156"/>
      <c r="AN4" s="156"/>
      <c r="AO4" s="160"/>
      <c r="AP4" s="160"/>
      <c r="AQ4" s="161"/>
      <c r="AR4" s="161"/>
      <c r="AS4" s="161"/>
      <c r="AT4" s="125"/>
      <c r="AU4" s="125"/>
      <c r="AV4" s="125"/>
      <c r="AW4" s="125"/>
      <c r="AX4" s="150"/>
      <c r="AY4" s="151"/>
    </row>
    <row r="5" spans="1:51" s="2" customFormat="1" ht="12.75" thickBot="1">
      <c r="A5" s="168"/>
      <c r="B5" s="169"/>
      <c r="C5" s="169"/>
      <c r="D5" s="169"/>
      <c r="E5" s="169"/>
      <c r="F5" s="170"/>
      <c r="G5" s="126" t="s">
        <v>0</v>
      </c>
      <c r="H5" s="127"/>
      <c r="I5" s="127"/>
      <c r="J5" s="127"/>
      <c r="K5" s="127"/>
      <c r="L5" s="6" t="s">
        <v>87</v>
      </c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118"/>
      <c r="AD5" s="118"/>
      <c r="AE5" s="118"/>
      <c r="AF5" s="118"/>
      <c r="AG5" s="118"/>
      <c r="AH5" s="118"/>
      <c r="AI5" s="127"/>
      <c r="AJ5" s="127"/>
      <c r="AK5" s="127"/>
      <c r="AL5" s="128"/>
      <c r="AM5" s="128"/>
      <c r="AN5" s="128"/>
      <c r="AO5" s="129"/>
      <c r="AP5" s="129"/>
      <c r="AQ5" s="130"/>
      <c r="AR5" s="130"/>
      <c r="AS5" s="130"/>
      <c r="AT5" s="131"/>
      <c r="AU5" s="131"/>
      <c r="AV5" s="131"/>
      <c r="AW5" s="131"/>
      <c r="AX5" s="152"/>
      <c r="AY5" s="153"/>
    </row>
    <row r="6" spans="1:51" s="2" customFormat="1">
      <c r="A6" s="132" t="s">
        <v>1</v>
      </c>
      <c r="B6" s="133"/>
      <c r="C6" s="133"/>
      <c r="D6" s="133"/>
      <c r="E6" s="133"/>
      <c r="F6" s="134"/>
      <c r="G6" s="141" t="s">
        <v>10</v>
      </c>
      <c r="H6" s="142"/>
      <c r="I6" s="142"/>
      <c r="J6" s="142"/>
      <c r="K6" s="142"/>
      <c r="L6" s="143"/>
      <c r="M6" s="144"/>
      <c r="N6" s="144"/>
      <c r="O6" s="144"/>
      <c r="P6" s="144"/>
      <c r="Q6" s="144"/>
      <c r="R6" s="144"/>
      <c r="S6" s="144"/>
      <c r="T6" s="144"/>
      <c r="U6" s="144"/>
      <c r="V6" s="144"/>
      <c r="W6" s="144"/>
      <c r="X6" s="144"/>
      <c r="Y6" s="144"/>
      <c r="Z6" s="144"/>
      <c r="AA6" s="144"/>
      <c r="AB6" s="145"/>
      <c r="AC6" s="146" t="s">
        <v>14</v>
      </c>
      <c r="AD6" s="142"/>
      <c r="AE6" s="142"/>
      <c r="AF6" s="142"/>
      <c r="AG6" s="142"/>
      <c r="AH6" s="147" t="s">
        <v>79</v>
      </c>
      <c r="AI6" s="148"/>
      <c r="AJ6" s="148"/>
      <c r="AK6" s="148"/>
      <c r="AL6" s="148"/>
      <c r="AM6" s="148"/>
      <c r="AN6" s="148"/>
      <c r="AO6" s="148"/>
      <c r="AP6" s="148"/>
      <c r="AQ6" s="148"/>
      <c r="AR6" s="148"/>
      <c r="AS6" s="148"/>
      <c r="AT6" s="148"/>
      <c r="AU6" s="148"/>
      <c r="AV6" s="148"/>
      <c r="AW6" s="148"/>
      <c r="AX6" s="148"/>
      <c r="AY6" s="149"/>
    </row>
    <row r="7" spans="1:51" s="2" customFormat="1">
      <c r="A7" s="135"/>
      <c r="B7" s="136"/>
      <c r="C7" s="136"/>
      <c r="D7" s="136"/>
      <c r="E7" s="136"/>
      <c r="F7" s="137"/>
      <c r="G7" s="171" t="s">
        <v>11</v>
      </c>
      <c r="H7" s="155"/>
      <c r="I7" s="155"/>
      <c r="J7" s="155"/>
      <c r="K7" s="155"/>
      <c r="L7" s="172" t="s">
        <v>143</v>
      </c>
      <c r="M7" s="173"/>
      <c r="N7" s="173"/>
      <c r="O7" s="173"/>
      <c r="P7" s="173"/>
      <c r="Q7" s="173"/>
      <c r="R7" s="173"/>
      <c r="S7" s="173"/>
      <c r="T7" s="173"/>
      <c r="U7" s="173"/>
      <c r="V7" s="173"/>
      <c r="W7" s="173"/>
      <c r="X7" s="173"/>
      <c r="Y7" s="173"/>
      <c r="Z7" s="173"/>
      <c r="AA7" s="173"/>
      <c r="AB7" s="174"/>
      <c r="AC7" s="159" t="s">
        <v>13</v>
      </c>
      <c r="AD7" s="155"/>
      <c r="AE7" s="155"/>
      <c r="AF7" s="155"/>
      <c r="AG7" s="155"/>
      <c r="AH7" s="172" t="s">
        <v>143</v>
      </c>
      <c r="AI7" s="173"/>
      <c r="AJ7" s="173"/>
      <c r="AK7" s="173"/>
      <c r="AL7" s="173"/>
      <c r="AM7" s="173"/>
      <c r="AN7" s="173"/>
      <c r="AO7" s="173"/>
      <c r="AP7" s="173"/>
      <c r="AQ7" s="173"/>
      <c r="AR7" s="173"/>
      <c r="AS7" s="173"/>
      <c r="AT7" s="173"/>
      <c r="AU7" s="173"/>
      <c r="AV7" s="173"/>
      <c r="AW7" s="173"/>
      <c r="AX7" s="173"/>
      <c r="AY7" s="174"/>
    </row>
    <row r="8" spans="1:51" s="2" customFormat="1" ht="12.75" thickBot="1">
      <c r="A8" s="138"/>
      <c r="B8" s="139"/>
      <c r="C8" s="139"/>
      <c r="D8" s="139"/>
      <c r="E8" s="139"/>
      <c r="F8" s="140"/>
      <c r="G8" s="175" t="s">
        <v>12</v>
      </c>
      <c r="H8" s="176"/>
      <c r="I8" s="176"/>
      <c r="J8" s="176"/>
      <c r="K8" s="176"/>
      <c r="L8" s="177" t="s">
        <v>178</v>
      </c>
      <c r="M8" s="178"/>
      <c r="N8" s="178"/>
      <c r="O8" s="178"/>
      <c r="P8" s="178"/>
      <c r="Q8" s="178"/>
      <c r="R8" s="178"/>
      <c r="S8" s="178"/>
      <c r="T8" s="178"/>
      <c r="U8" s="178"/>
      <c r="V8" s="178"/>
      <c r="W8" s="178"/>
      <c r="X8" s="178"/>
      <c r="Y8" s="178"/>
      <c r="Z8" s="178"/>
      <c r="AA8" s="178"/>
      <c r="AB8" s="179"/>
      <c r="AC8" s="180" t="s">
        <v>33</v>
      </c>
      <c r="AD8" s="176"/>
      <c r="AE8" s="176"/>
      <c r="AF8" s="176"/>
      <c r="AG8" s="176"/>
      <c r="AH8" s="177" t="str">
        <f ca="1">RIGHT(CELL("filename",A1),LEN(CELL("filename",A1))-FIND("]",CELL("filename",A1)))</f>
        <v>m_得意先</v>
      </c>
      <c r="AI8" s="178"/>
      <c r="AJ8" s="178"/>
      <c r="AK8" s="178"/>
      <c r="AL8" s="178"/>
      <c r="AM8" s="178"/>
      <c r="AN8" s="178"/>
      <c r="AO8" s="178"/>
      <c r="AP8" s="178"/>
      <c r="AQ8" s="178"/>
      <c r="AR8" s="178"/>
      <c r="AS8" s="178"/>
      <c r="AT8" s="178"/>
      <c r="AU8" s="178"/>
      <c r="AV8" s="178"/>
      <c r="AW8" s="178"/>
      <c r="AX8" s="178"/>
      <c r="AY8" s="179"/>
    </row>
    <row r="10" spans="1:51">
      <c r="A10" s="181" t="s">
        <v>15</v>
      </c>
      <c r="B10" s="181"/>
      <c r="C10" s="181" t="s">
        <v>17</v>
      </c>
      <c r="D10" s="181"/>
      <c r="E10" s="181"/>
      <c r="F10" s="181"/>
      <c r="G10" s="181"/>
      <c r="H10" s="181"/>
      <c r="I10" s="181"/>
      <c r="J10" s="181"/>
      <c r="K10" s="181"/>
      <c r="L10" s="183" t="s">
        <v>18</v>
      </c>
      <c r="M10" s="184"/>
      <c r="N10" s="184"/>
      <c r="O10" s="184"/>
      <c r="P10" s="184"/>
      <c r="Q10" s="184"/>
      <c r="R10" s="184"/>
      <c r="S10" s="185"/>
      <c r="T10" s="184" t="s">
        <v>16</v>
      </c>
      <c r="U10" s="184"/>
      <c r="V10" s="185"/>
      <c r="W10" s="181" t="s">
        <v>28</v>
      </c>
      <c r="X10" s="181"/>
      <c r="Y10" s="181" t="s">
        <v>29</v>
      </c>
      <c r="Z10" s="181"/>
      <c r="AA10" s="181" t="s">
        <v>25</v>
      </c>
      <c r="AB10" s="181"/>
      <c r="AC10" s="181" t="s">
        <v>26</v>
      </c>
      <c r="AD10" s="181"/>
      <c r="AE10" s="181"/>
      <c r="AF10" s="181"/>
      <c r="AG10" s="181"/>
      <c r="AH10" s="181" t="s">
        <v>27</v>
      </c>
      <c r="AI10" s="181"/>
      <c r="AJ10" s="182" t="s">
        <v>30</v>
      </c>
      <c r="AK10" s="181"/>
      <c r="AL10" s="181" t="s">
        <v>31</v>
      </c>
      <c r="AM10" s="181"/>
      <c r="AN10" s="181"/>
      <c r="AO10" s="181" t="s">
        <v>32</v>
      </c>
      <c r="AP10" s="181"/>
      <c r="AQ10" s="181"/>
      <c r="AR10" s="181"/>
      <c r="AS10" s="181"/>
      <c r="AT10" s="181"/>
      <c r="AU10" s="181"/>
      <c r="AV10" s="181"/>
      <c r="AW10" s="181"/>
      <c r="AX10" s="181"/>
      <c r="AY10" s="181"/>
    </row>
    <row r="11" spans="1:51">
      <c r="A11" s="181"/>
      <c r="B11" s="181"/>
      <c r="C11" s="181"/>
      <c r="D11" s="181"/>
      <c r="E11" s="181"/>
      <c r="F11" s="181"/>
      <c r="G11" s="181"/>
      <c r="H11" s="181"/>
      <c r="I11" s="181"/>
      <c r="J11" s="181"/>
      <c r="K11" s="181"/>
      <c r="L11" s="186"/>
      <c r="M11" s="187"/>
      <c r="N11" s="187"/>
      <c r="O11" s="187"/>
      <c r="P11" s="187"/>
      <c r="Q11" s="187"/>
      <c r="R11" s="187"/>
      <c r="S11" s="188"/>
      <c r="T11" s="187"/>
      <c r="U11" s="187"/>
      <c r="V11" s="188"/>
      <c r="W11" s="181"/>
      <c r="X11" s="181"/>
      <c r="Y11" s="181"/>
      <c r="Z11" s="181"/>
      <c r="AA11" s="181" t="s">
        <v>24</v>
      </c>
      <c r="AB11" s="181"/>
      <c r="AC11" s="9" t="s">
        <v>19</v>
      </c>
      <c r="AD11" s="9" t="s">
        <v>20</v>
      </c>
      <c r="AE11" s="9" t="s">
        <v>21</v>
      </c>
      <c r="AF11" s="9" t="s">
        <v>22</v>
      </c>
      <c r="AG11" s="9" t="s">
        <v>23</v>
      </c>
      <c r="AH11" s="181" t="s">
        <v>24</v>
      </c>
      <c r="AI11" s="181"/>
      <c r="AJ11" s="181"/>
      <c r="AK11" s="181"/>
      <c r="AL11" s="181"/>
      <c r="AM11" s="181"/>
      <c r="AN11" s="181"/>
      <c r="AO11" s="181"/>
      <c r="AP11" s="181"/>
      <c r="AQ11" s="181"/>
      <c r="AR11" s="181"/>
      <c r="AS11" s="181"/>
      <c r="AT11" s="181"/>
      <c r="AU11" s="181"/>
      <c r="AV11" s="181"/>
      <c r="AW11" s="181"/>
      <c r="AX11" s="181"/>
      <c r="AY11" s="181"/>
    </row>
    <row r="12" spans="1:51">
      <c r="A12" s="189">
        <f t="shared" ref="A12:A54" si="0">ROW()-11</f>
        <v>1</v>
      </c>
      <c r="B12" s="190"/>
      <c r="C12" s="61" t="s">
        <v>82</v>
      </c>
      <c r="D12" s="59"/>
      <c r="E12" s="59"/>
      <c r="F12" s="59"/>
      <c r="G12" s="59"/>
      <c r="H12" s="59"/>
      <c r="I12" s="59"/>
      <c r="J12" s="59"/>
      <c r="K12" s="60"/>
      <c r="L12" s="191" t="s">
        <v>93</v>
      </c>
      <c r="M12" s="192"/>
      <c r="N12" s="192"/>
      <c r="O12" s="192"/>
      <c r="P12" s="192"/>
      <c r="Q12" s="192"/>
      <c r="R12" s="192"/>
      <c r="S12" s="193"/>
      <c r="T12" s="194" t="s">
        <v>41</v>
      </c>
      <c r="U12" s="195"/>
      <c r="V12" s="196"/>
      <c r="W12" s="197" t="s">
        <v>43</v>
      </c>
      <c r="X12" s="198"/>
      <c r="Y12" s="197">
        <v>8</v>
      </c>
      <c r="Z12" s="198"/>
      <c r="AA12" s="197"/>
      <c r="AB12" s="198"/>
      <c r="AC12" s="47"/>
      <c r="AD12" s="22"/>
      <c r="AE12" s="22"/>
      <c r="AF12" s="22"/>
      <c r="AG12" s="49"/>
      <c r="AH12" s="197"/>
      <c r="AI12" s="198"/>
      <c r="AJ12" s="199"/>
      <c r="AK12" s="200"/>
      <c r="AL12" s="197"/>
      <c r="AM12" s="201"/>
      <c r="AN12" s="198"/>
      <c r="AO12" s="192"/>
      <c r="AP12" s="192"/>
      <c r="AQ12" s="192"/>
      <c r="AR12" s="192"/>
      <c r="AS12" s="192"/>
      <c r="AT12" s="192"/>
      <c r="AU12" s="192"/>
      <c r="AV12" s="192"/>
      <c r="AW12" s="192"/>
      <c r="AX12" s="192"/>
      <c r="AY12" s="193"/>
    </row>
    <row r="13" spans="1:51">
      <c r="A13" s="189">
        <f t="shared" si="0"/>
        <v>2</v>
      </c>
      <c r="B13" s="190"/>
      <c r="C13" s="61" t="s">
        <v>83</v>
      </c>
      <c r="D13" s="59"/>
      <c r="E13" s="59"/>
      <c r="F13" s="59"/>
      <c r="G13" s="59"/>
      <c r="H13" s="59"/>
      <c r="I13" s="59"/>
      <c r="J13" s="59"/>
      <c r="K13" s="60"/>
      <c r="L13" s="191" t="s">
        <v>94</v>
      </c>
      <c r="M13" s="192"/>
      <c r="N13" s="192"/>
      <c r="O13" s="192"/>
      <c r="P13" s="192"/>
      <c r="Q13" s="192"/>
      <c r="R13" s="192"/>
      <c r="S13" s="193"/>
      <c r="T13" s="194" t="s">
        <v>40</v>
      </c>
      <c r="U13" s="195"/>
      <c r="V13" s="196"/>
      <c r="W13" s="197">
        <v>60</v>
      </c>
      <c r="X13" s="198"/>
      <c r="Y13" s="197">
        <v>60</v>
      </c>
      <c r="Z13" s="198"/>
      <c r="AA13" s="197"/>
      <c r="AB13" s="198"/>
      <c r="AC13" s="47"/>
      <c r="AD13" s="22"/>
      <c r="AE13" s="22"/>
      <c r="AF13" s="22"/>
      <c r="AG13" s="49"/>
      <c r="AH13" s="197"/>
      <c r="AI13" s="198"/>
      <c r="AJ13" s="199"/>
      <c r="AK13" s="200"/>
      <c r="AL13" s="197"/>
      <c r="AM13" s="201"/>
      <c r="AN13" s="198"/>
      <c r="AO13" s="192"/>
      <c r="AP13" s="192"/>
      <c r="AQ13" s="192"/>
      <c r="AR13" s="192"/>
      <c r="AS13" s="192"/>
      <c r="AT13" s="192"/>
      <c r="AU13" s="192"/>
      <c r="AV13" s="192"/>
      <c r="AW13" s="192"/>
      <c r="AX13" s="192"/>
      <c r="AY13" s="193"/>
    </row>
    <row r="14" spans="1:51">
      <c r="A14" s="189">
        <f t="shared" si="0"/>
        <v>3</v>
      </c>
      <c r="B14" s="190"/>
      <c r="C14" s="61" t="s">
        <v>90</v>
      </c>
      <c r="D14" s="59"/>
      <c r="E14" s="59"/>
      <c r="F14" s="59"/>
      <c r="G14" s="59"/>
      <c r="H14" s="59"/>
      <c r="I14" s="59"/>
      <c r="J14" s="59"/>
      <c r="K14" s="60"/>
      <c r="L14" s="191" t="s">
        <v>95</v>
      </c>
      <c r="M14" s="192"/>
      <c r="N14" s="192"/>
      <c r="O14" s="192"/>
      <c r="P14" s="192"/>
      <c r="Q14" s="192"/>
      <c r="R14" s="192"/>
      <c r="S14" s="193"/>
      <c r="T14" s="194" t="s">
        <v>42</v>
      </c>
      <c r="U14" s="195"/>
      <c r="V14" s="196"/>
      <c r="W14" s="197" t="s">
        <v>91</v>
      </c>
      <c r="X14" s="198"/>
      <c r="Y14" s="197">
        <v>4</v>
      </c>
      <c r="Z14" s="198"/>
      <c r="AA14" s="197"/>
      <c r="AB14" s="198"/>
      <c r="AC14" s="47"/>
      <c r="AD14" s="22"/>
      <c r="AE14" s="22"/>
      <c r="AF14" s="22"/>
      <c r="AG14" s="49"/>
      <c r="AH14" s="197"/>
      <c r="AI14" s="198"/>
      <c r="AJ14" s="199"/>
      <c r="AK14" s="200"/>
      <c r="AL14" s="197"/>
      <c r="AM14" s="201"/>
      <c r="AN14" s="198"/>
      <c r="AO14" s="192"/>
      <c r="AP14" s="192"/>
      <c r="AQ14" s="192"/>
      <c r="AR14" s="192"/>
      <c r="AS14" s="192"/>
      <c r="AT14" s="192"/>
      <c r="AU14" s="192"/>
      <c r="AV14" s="192"/>
      <c r="AW14" s="192"/>
      <c r="AX14" s="192"/>
      <c r="AY14" s="193"/>
    </row>
    <row r="15" spans="1:51">
      <c r="A15" s="189">
        <f t="shared" si="0"/>
        <v>4</v>
      </c>
      <c r="B15" s="190"/>
      <c r="C15" s="61" t="s">
        <v>84</v>
      </c>
      <c r="D15" s="59"/>
      <c r="E15" s="59"/>
      <c r="F15" s="59"/>
      <c r="G15" s="59"/>
      <c r="H15" s="59"/>
      <c r="I15" s="59"/>
      <c r="J15" s="59"/>
      <c r="K15" s="60"/>
      <c r="L15" s="191" t="s">
        <v>96</v>
      </c>
      <c r="M15" s="192"/>
      <c r="N15" s="192"/>
      <c r="O15" s="192"/>
      <c r="P15" s="192"/>
      <c r="Q15" s="192"/>
      <c r="R15" s="192"/>
      <c r="S15" s="193"/>
      <c r="T15" s="194" t="s">
        <v>41</v>
      </c>
      <c r="U15" s="195"/>
      <c r="V15" s="196"/>
      <c r="W15" s="197" t="s">
        <v>43</v>
      </c>
      <c r="X15" s="198"/>
      <c r="Y15" s="197">
        <v>8</v>
      </c>
      <c r="Z15" s="198"/>
      <c r="AA15" s="197"/>
      <c r="AB15" s="198"/>
      <c r="AC15" s="47"/>
      <c r="AD15" s="22"/>
      <c r="AE15" s="22"/>
      <c r="AF15" s="22"/>
      <c r="AG15" s="49"/>
      <c r="AH15" s="197"/>
      <c r="AI15" s="198"/>
      <c r="AJ15" s="199"/>
      <c r="AK15" s="200"/>
      <c r="AL15" s="197"/>
      <c r="AM15" s="201"/>
      <c r="AN15" s="198"/>
      <c r="AO15" s="192"/>
      <c r="AP15" s="192"/>
      <c r="AQ15" s="192"/>
      <c r="AR15" s="192"/>
      <c r="AS15" s="192"/>
      <c r="AT15" s="192"/>
      <c r="AU15" s="192"/>
      <c r="AV15" s="192"/>
      <c r="AW15" s="192"/>
      <c r="AX15" s="192"/>
      <c r="AY15" s="193"/>
    </row>
    <row r="16" spans="1:51">
      <c r="A16" s="189">
        <f t="shared" si="0"/>
        <v>5</v>
      </c>
      <c r="B16" s="190"/>
      <c r="C16" s="61" t="s">
        <v>85</v>
      </c>
      <c r="D16" s="59"/>
      <c r="E16" s="59"/>
      <c r="F16" s="59"/>
      <c r="G16" s="59"/>
      <c r="H16" s="59"/>
      <c r="I16" s="59"/>
      <c r="J16" s="59"/>
      <c r="K16" s="60"/>
      <c r="L16" s="191" t="s">
        <v>97</v>
      </c>
      <c r="M16" s="192"/>
      <c r="N16" s="192"/>
      <c r="O16" s="192"/>
      <c r="P16" s="192"/>
      <c r="Q16" s="192"/>
      <c r="R16" s="192"/>
      <c r="S16" s="193"/>
      <c r="T16" s="194" t="s">
        <v>40</v>
      </c>
      <c r="U16" s="195"/>
      <c r="V16" s="196"/>
      <c r="W16" s="197">
        <v>60</v>
      </c>
      <c r="X16" s="198"/>
      <c r="Y16" s="197">
        <v>60</v>
      </c>
      <c r="Z16" s="198"/>
      <c r="AA16" s="197"/>
      <c r="AB16" s="198"/>
      <c r="AC16" s="47"/>
      <c r="AD16" s="22"/>
      <c r="AE16" s="22"/>
      <c r="AF16" s="22"/>
      <c r="AG16" s="49"/>
      <c r="AH16" s="197"/>
      <c r="AI16" s="198"/>
      <c r="AJ16" s="199"/>
      <c r="AK16" s="200"/>
      <c r="AL16" s="197"/>
      <c r="AM16" s="201"/>
      <c r="AN16" s="198"/>
      <c r="AO16" s="192"/>
      <c r="AP16" s="192"/>
      <c r="AQ16" s="192"/>
      <c r="AR16" s="192"/>
      <c r="AS16" s="192"/>
      <c r="AT16" s="192"/>
      <c r="AU16" s="192"/>
      <c r="AV16" s="192"/>
      <c r="AW16" s="192"/>
      <c r="AX16" s="192"/>
      <c r="AY16" s="193"/>
    </row>
    <row r="17" spans="1:51">
      <c r="A17" s="189">
        <f t="shared" si="0"/>
        <v>6</v>
      </c>
      <c r="B17" s="190"/>
      <c r="C17" s="61" t="s">
        <v>92</v>
      </c>
      <c r="D17" s="59"/>
      <c r="E17" s="59"/>
      <c r="F17" s="59"/>
      <c r="G17" s="59"/>
      <c r="H17" s="59"/>
      <c r="I17" s="59"/>
      <c r="J17" s="59"/>
      <c r="K17" s="60"/>
      <c r="L17" s="191" t="s">
        <v>98</v>
      </c>
      <c r="M17" s="192"/>
      <c r="N17" s="192"/>
      <c r="O17" s="192"/>
      <c r="P17" s="192"/>
      <c r="Q17" s="192"/>
      <c r="R17" s="192"/>
      <c r="S17" s="193"/>
      <c r="T17" s="194" t="s">
        <v>42</v>
      </c>
      <c r="U17" s="195"/>
      <c r="V17" s="196"/>
      <c r="W17" s="197" t="s">
        <v>91</v>
      </c>
      <c r="X17" s="198"/>
      <c r="Y17" s="197">
        <v>4</v>
      </c>
      <c r="Z17" s="198"/>
      <c r="AA17" s="197"/>
      <c r="AB17" s="198"/>
      <c r="AC17" s="47"/>
      <c r="AD17" s="22"/>
      <c r="AE17" s="22"/>
      <c r="AF17" s="22"/>
      <c r="AG17" s="49"/>
      <c r="AH17" s="197"/>
      <c r="AI17" s="198"/>
      <c r="AJ17" s="199"/>
      <c r="AK17" s="200"/>
      <c r="AL17" s="197"/>
      <c r="AM17" s="201"/>
      <c r="AN17" s="198"/>
      <c r="AO17" s="192"/>
      <c r="AP17" s="192"/>
      <c r="AQ17" s="192"/>
      <c r="AR17" s="192"/>
      <c r="AS17" s="192"/>
      <c r="AT17" s="192"/>
      <c r="AU17" s="192"/>
      <c r="AV17" s="192"/>
      <c r="AW17" s="192"/>
      <c r="AX17" s="192"/>
      <c r="AY17" s="193"/>
    </row>
    <row r="18" spans="1:51">
      <c r="A18" s="189">
        <f t="shared" si="0"/>
        <v>7</v>
      </c>
      <c r="B18" s="190"/>
      <c r="C18" s="61" t="s">
        <v>100</v>
      </c>
      <c r="D18" s="59"/>
      <c r="E18" s="59"/>
      <c r="F18" s="59"/>
      <c r="G18" s="59"/>
      <c r="H18" s="59"/>
      <c r="I18" s="59"/>
      <c r="J18" s="59"/>
      <c r="K18" s="60"/>
      <c r="L18" s="191" t="s">
        <v>103</v>
      </c>
      <c r="M18" s="192"/>
      <c r="N18" s="192"/>
      <c r="O18" s="192"/>
      <c r="P18" s="192"/>
      <c r="Q18" s="192"/>
      <c r="R18" s="192"/>
      <c r="S18" s="193"/>
      <c r="T18" s="194" t="s">
        <v>41</v>
      </c>
      <c r="U18" s="195"/>
      <c r="V18" s="196"/>
      <c r="W18" s="197" t="s">
        <v>43</v>
      </c>
      <c r="X18" s="198"/>
      <c r="Y18" s="197">
        <v>8</v>
      </c>
      <c r="Z18" s="198"/>
      <c r="AA18" s="197"/>
      <c r="AB18" s="198"/>
      <c r="AC18" s="47"/>
      <c r="AD18" s="22"/>
      <c r="AE18" s="22"/>
      <c r="AF18" s="22"/>
      <c r="AG18" s="49"/>
      <c r="AH18" s="197"/>
      <c r="AI18" s="198"/>
      <c r="AJ18" s="199"/>
      <c r="AK18" s="200"/>
      <c r="AL18" s="197"/>
      <c r="AM18" s="201"/>
      <c r="AN18" s="198"/>
      <c r="AO18" s="192"/>
      <c r="AP18" s="192"/>
      <c r="AQ18" s="192"/>
      <c r="AR18" s="192"/>
      <c r="AS18" s="192"/>
      <c r="AT18" s="192"/>
      <c r="AU18" s="192"/>
      <c r="AV18" s="192"/>
      <c r="AW18" s="192"/>
      <c r="AX18" s="192"/>
      <c r="AY18" s="193"/>
    </row>
    <row r="19" spans="1:51">
      <c r="A19" s="189">
        <f t="shared" si="0"/>
        <v>8</v>
      </c>
      <c r="B19" s="190"/>
      <c r="C19" s="61" t="s">
        <v>101</v>
      </c>
      <c r="D19" s="59"/>
      <c r="E19" s="59"/>
      <c r="F19" s="59"/>
      <c r="G19" s="59"/>
      <c r="H19" s="59"/>
      <c r="I19" s="59"/>
      <c r="J19" s="59"/>
      <c r="K19" s="60"/>
      <c r="L19" s="191" t="s">
        <v>104</v>
      </c>
      <c r="M19" s="192"/>
      <c r="N19" s="192"/>
      <c r="O19" s="192"/>
      <c r="P19" s="192"/>
      <c r="Q19" s="192"/>
      <c r="R19" s="192"/>
      <c r="S19" s="193"/>
      <c r="T19" s="194" t="s">
        <v>40</v>
      </c>
      <c r="U19" s="195"/>
      <c r="V19" s="196"/>
      <c r="W19" s="197">
        <v>60</v>
      </c>
      <c r="X19" s="198"/>
      <c r="Y19" s="197">
        <v>60</v>
      </c>
      <c r="Z19" s="198"/>
      <c r="AA19" s="197"/>
      <c r="AB19" s="198"/>
      <c r="AC19" s="47"/>
      <c r="AD19" s="22"/>
      <c r="AE19" s="22"/>
      <c r="AF19" s="22"/>
      <c r="AG19" s="49"/>
      <c r="AH19" s="197"/>
      <c r="AI19" s="198"/>
      <c r="AJ19" s="199"/>
      <c r="AK19" s="200"/>
      <c r="AL19" s="197"/>
      <c r="AM19" s="201"/>
      <c r="AN19" s="198"/>
      <c r="AO19" s="192"/>
      <c r="AP19" s="192"/>
      <c r="AQ19" s="192"/>
      <c r="AR19" s="192"/>
      <c r="AS19" s="192"/>
      <c r="AT19" s="192"/>
      <c r="AU19" s="192"/>
      <c r="AV19" s="192"/>
      <c r="AW19" s="192"/>
      <c r="AX19" s="192"/>
      <c r="AY19" s="193"/>
    </row>
    <row r="20" spans="1:51">
      <c r="A20" s="189">
        <f t="shared" si="0"/>
        <v>9</v>
      </c>
      <c r="B20" s="190"/>
      <c r="C20" s="61" t="s">
        <v>102</v>
      </c>
      <c r="D20" s="59"/>
      <c r="E20" s="59"/>
      <c r="F20" s="59"/>
      <c r="G20" s="59"/>
      <c r="H20" s="59"/>
      <c r="I20" s="59"/>
      <c r="J20" s="59"/>
      <c r="K20" s="60"/>
      <c r="L20" s="191" t="s">
        <v>105</v>
      </c>
      <c r="M20" s="192"/>
      <c r="N20" s="192"/>
      <c r="O20" s="192"/>
      <c r="P20" s="192"/>
      <c r="Q20" s="192"/>
      <c r="R20" s="192"/>
      <c r="S20" s="193"/>
      <c r="T20" s="194" t="s">
        <v>42</v>
      </c>
      <c r="U20" s="195"/>
      <c r="V20" s="196"/>
      <c r="W20" s="197" t="s">
        <v>91</v>
      </c>
      <c r="X20" s="198"/>
      <c r="Y20" s="197">
        <v>4</v>
      </c>
      <c r="Z20" s="198"/>
      <c r="AA20" s="197"/>
      <c r="AB20" s="198"/>
      <c r="AC20" s="47"/>
      <c r="AD20" s="22"/>
      <c r="AE20" s="22"/>
      <c r="AF20" s="22"/>
      <c r="AG20" s="49"/>
      <c r="AH20" s="197"/>
      <c r="AI20" s="198"/>
      <c r="AJ20" s="199"/>
      <c r="AK20" s="200"/>
      <c r="AL20" s="197"/>
      <c r="AM20" s="201"/>
      <c r="AN20" s="198"/>
      <c r="AO20" s="192"/>
      <c r="AP20" s="192"/>
      <c r="AQ20" s="192"/>
      <c r="AR20" s="192"/>
      <c r="AS20" s="192"/>
      <c r="AT20" s="192"/>
      <c r="AU20" s="192"/>
      <c r="AV20" s="192"/>
      <c r="AW20" s="192"/>
      <c r="AX20" s="192"/>
      <c r="AY20" s="193"/>
    </row>
    <row r="21" spans="1:51">
      <c r="A21" s="189">
        <f>ROW()-11</f>
        <v>10</v>
      </c>
      <c r="B21" s="190"/>
      <c r="C21" s="61" t="s">
        <v>86</v>
      </c>
      <c r="D21" s="59"/>
      <c r="E21" s="59"/>
      <c r="F21" s="59"/>
      <c r="G21" s="59"/>
      <c r="H21" s="59"/>
      <c r="I21" s="59"/>
      <c r="J21" s="59"/>
      <c r="K21" s="60"/>
      <c r="L21" s="191" t="s">
        <v>99</v>
      </c>
      <c r="M21" s="192"/>
      <c r="N21" s="192"/>
      <c r="O21" s="192"/>
      <c r="P21" s="192"/>
      <c r="Q21" s="192"/>
      <c r="R21" s="192"/>
      <c r="S21" s="193"/>
      <c r="T21" s="194" t="s">
        <v>42</v>
      </c>
      <c r="U21" s="195"/>
      <c r="V21" s="196"/>
      <c r="W21" s="197">
        <v>1</v>
      </c>
      <c r="X21" s="198"/>
      <c r="Y21" s="197">
        <v>1</v>
      </c>
      <c r="Z21" s="198"/>
      <c r="AA21" s="197"/>
      <c r="AB21" s="198"/>
      <c r="AC21" s="47"/>
      <c r="AD21" s="22"/>
      <c r="AE21" s="22"/>
      <c r="AF21" s="22"/>
      <c r="AG21" s="49"/>
      <c r="AH21" s="197"/>
      <c r="AI21" s="198"/>
      <c r="AJ21" s="199"/>
      <c r="AK21" s="200"/>
      <c r="AL21" s="197">
        <v>0</v>
      </c>
      <c r="AM21" s="201"/>
      <c r="AN21" s="198"/>
      <c r="AO21" s="192" t="s">
        <v>44</v>
      </c>
      <c r="AP21" s="192"/>
      <c r="AQ21" s="192"/>
      <c r="AR21" s="192"/>
      <c r="AS21" s="192"/>
      <c r="AT21" s="192"/>
      <c r="AU21" s="192"/>
      <c r="AV21" s="192"/>
      <c r="AW21" s="192"/>
      <c r="AX21" s="192"/>
      <c r="AY21" s="193"/>
    </row>
    <row r="22" spans="1:51">
      <c r="A22" s="202">
        <f t="shared" si="0"/>
        <v>11</v>
      </c>
      <c r="B22" s="204"/>
      <c r="C22" s="48" t="s">
        <v>177</v>
      </c>
      <c r="D22" s="42"/>
      <c r="E22" s="42"/>
      <c r="F22" s="42"/>
      <c r="G22" s="42"/>
      <c r="H22" s="42"/>
      <c r="I22" s="42"/>
      <c r="J22" s="42"/>
      <c r="K22" s="44"/>
      <c r="L22" s="48" t="s">
        <v>177</v>
      </c>
      <c r="M22" s="42"/>
      <c r="N22" s="42"/>
      <c r="O22" s="42"/>
      <c r="P22" s="42"/>
      <c r="Q22" s="42"/>
      <c r="R22" s="42"/>
      <c r="S22" s="44"/>
      <c r="T22" s="207" t="s">
        <v>42</v>
      </c>
      <c r="U22" s="208"/>
      <c r="V22" s="209"/>
      <c r="W22" s="220" t="s">
        <v>187</v>
      </c>
      <c r="X22" s="221"/>
      <c r="Y22" s="220">
        <v>8</v>
      </c>
      <c r="Z22" s="221"/>
      <c r="AA22" s="215">
        <v>1</v>
      </c>
      <c r="AB22" s="216"/>
      <c r="AC22" s="46"/>
      <c r="AD22" s="24"/>
      <c r="AE22" s="24"/>
      <c r="AF22" s="24"/>
      <c r="AG22" s="51"/>
      <c r="AH22" s="215"/>
      <c r="AI22" s="216"/>
      <c r="AJ22" s="212" t="s">
        <v>128</v>
      </c>
      <c r="AK22" s="213"/>
      <c r="AL22" s="215"/>
      <c r="AM22" s="217"/>
      <c r="AN22" s="216"/>
      <c r="AO22" s="205"/>
      <c r="AP22" s="205"/>
      <c r="AQ22" s="205"/>
      <c r="AR22" s="205"/>
      <c r="AS22" s="205"/>
      <c r="AT22" s="205"/>
      <c r="AU22" s="205"/>
      <c r="AV22" s="205"/>
      <c r="AW22" s="205"/>
      <c r="AX22" s="205"/>
      <c r="AY22" s="206"/>
    </row>
    <row r="23" spans="1:51">
      <c r="A23" s="202">
        <f t="shared" si="0"/>
        <v>12</v>
      </c>
      <c r="B23" s="204"/>
      <c r="C23" s="48" t="s">
        <v>179</v>
      </c>
      <c r="D23" s="42"/>
      <c r="E23" s="42"/>
      <c r="F23" s="42"/>
      <c r="G23" s="42"/>
      <c r="H23" s="42"/>
      <c r="I23" s="42"/>
      <c r="J23" s="42"/>
      <c r="K23" s="44"/>
      <c r="L23" s="48" t="s">
        <v>179</v>
      </c>
      <c r="M23" s="42"/>
      <c r="N23" s="42"/>
      <c r="O23" s="42"/>
      <c r="P23" s="42"/>
      <c r="Q23" s="42"/>
      <c r="R23" s="42"/>
      <c r="S23" s="44"/>
      <c r="T23" s="207" t="s">
        <v>40</v>
      </c>
      <c r="U23" s="208"/>
      <c r="V23" s="209"/>
      <c r="W23" s="202">
        <v>60</v>
      </c>
      <c r="X23" s="204"/>
      <c r="Y23" s="202">
        <v>60</v>
      </c>
      <c r="Z23" s="204"/>
      <c r="AA23" s="202"/>
      <c r="AB23" s="204"/>
      <c r="AC23" s="46"/>
      <c r="AD23" s="24"/>
      <c r="AE23" s="24"/>
      <c r="AF23" s="24"/>
      <c r="AG23" s="51"/>
      <c r="AH23" s="202"/>
      <c r="AI23" s="204"/>
      <c r="AJ23" s="212"/>
      <c r="AK23" s="213"/>
      <c r="AL23" s="202"/>
      <c r="AM23" s="203"/>
      <c r="AN23" s="204"/>
      <c r="AO23" s="205"/>
      <c r="AP23" s="205"/>
      <c r="AQ23" s="205"/>
      <c r="AR23" s="205"/>
      <c r="AS23" s="205"/>
      <c r="AT23" s="205"/>
      <c r="AU23" s="205"/>
      <c r="AV23" s="205"/>
      <c r="AW23" s="205"/>
      <c r="AX23" s="205"/>
      <c r="AY23" s="206"/>
    </row>
    <row r="24" spans="1:51">
      <c r="A24" s="202">
        <f t="shared" si="0"/>
        <v>13</v>
      </c>
      <c r="B24" s="204"/>
      <c r="C24" s="48" t="s">
        <v>180</v>
      </c>
      <c r="D24" s="42"/>
      <c r="E24" s="42"/>
      <c r="F24" s="42"/>
      <c r="G24" s="42"/>
      <c r="H24" s="42"/>
      <c r="I24" s="42"/>
      <c r="J24" s="42"/>
      <c r="K24" s="44"/>
      <c r="L24" s="48" t="s">
        <v>180</v>
      </c>
      <c r="M24" s="42"/>
      <c r="N24" s="42"/>
      <c r="O24" s="42"/>
      <c r="P24" s="42"/>
      <c r="Q24" s="42"/>
      <c r="R24" s="42"/>
      <c r="S24" s="44"/>
      <c r="T24" s="207" t="s">
        <v>40</v>
      </c>
      <c r="U24" s="208"/>
      <c r="V24" s="209"/>
      <c r="W24" s="202">
        <v>60</v>
      </c>
      <c r="X24" s="204"/>
      <c r="Y24" s="202">
        <v>60</v>
      </c>
      <c r="Z24" s="204"/>
      <c r="AA24" s="202"/>
      <c r="AB24" s="204"/>
      <c r="AC24" s="46"/>
      <c r="AD24" s="24"/>
      <c r="AE24" s="24"/>
      <c r="AF24" s="24"/>
      <c r="AG24" s="51"/>
      <c r="AH24" s="202"/>
      <c r="AI24" s="204"/>
      <c r="AJ24" s="100"/>
      <c r="AK24" s="102"/>
      <c r="AL24" s="202"/>
      <c r="AM24" s="203"/>
      <c r="AN24" s="204"/>
      <c r="AO24" s="205"/>
      <c r="AP24" s="205"/>
      <c r="AQ24" s="205"/>
      <c r="AR24" s="205"/>
      <c r="AS24" s="205"/>
      <c r="AT24" s="205"/>
      <c r="AU24" s="205"/>
      <c r="AV24" s="205"/>
      <c r="AW24" s="205"/>
      <c r="AX24" s="205"/>
      <c r="AY24" s="206"/>
    </row>
    <row r="25" spans="1:51">
      <c r="A25" s="202">
        <f t="shared" si="0"/>
        <v>14</v>
      </c>
      <c r="B25" s="204"/>
      <c r="C25" s="48" t="s">
        <v>181</v>
      </c>
      <c r="D25" s="42"/>
      <c r="E25" s="42"/>
      <c r="F25" s="42"/>
      <c r="G25" s="42"/>
      <c r="H25" s="42"/>
      <c r="I25" s="42"/>
      <c r="J25" s="42"/>
      <c r="K25" s="44"/>
      <c r="L25" s="48" t="s">
        <v>181</v>
      </c>
      <c r="M25" s="42"/>
      <c r="N25" s="42"/>
      <c r="O25" s="42"/>
      <c r="P25" s="42"/>
      <c r="Q25" s="42"/>
      <c r="R25" s="42"/>
      <c r="S25" s="44"/>
      <c r="T25" s="207" t="s">
        <v>40</v>
      </c>
      <c r="U25" s="208"/>
      <c r="V25" s="209"/>
      <c r="W25" s="202">
        <v>60</v>
      </c>
      <c r="X25" s="204"/>
      <c r="Y25" s="202">
        <v>60</v>
      </c>
      <c r="Z25" s="204"/>
      <c r="AA25" s="202"/>
      <c r="AB25" s="204"/>
      <c r="AC25" s="45"/>
      <c r="AD25" s="23"/>
      <c r="AE25" s="23"/>
      <c r="AF25" s="23"/>
      <c r="AG25" s="50"/>
      <c r="AH25" s="202"/>
      <c r="AI25" s="204"/>
      <c r="AJ25" s="100"/>
      <c r="AK25" s="102"/>
      <c r="AL25" s="202"/>
      <c r="AM25" s="203"/>
      <c r="AN25" s="204"/>
      <c r="AO25" s="205"/>
      <c r="AP25" s="205"/>
      <c r="AQ25" s="205"/>
      <c r="AR25" s="205"/>
      <c r="AS25" s="205"/>
      <c r="AT25" s="205"/>
      <c r="AU25" s="205"/>
      <c r="AV25" s="205"/>
      <c r="AW25" s="205"/>
      <c r="AX25" s="205"/>
      <c r="AY25" s="206"/>
    </row>
    <row r="26" spans="1:51">
      <c r="A26" s="202">
        <f t="shared" si="0"/>
        <v>15</v>
      </c>
      <c r="B26" s="204"/>
      <c r="C26" s="48" t="s">
        <v>182</v>
      </c>
      <c r="D26" s="42"/>
      <c r="E26" s="42"/>
      <c r="F26" s="42"/>
      <c r="G26" s="42"/>
      <c r="H26" s="42"/>
      <c r="I26" s="42"/>
      <c r="J26" s="42"/>
      <c r="K26" s="44"/>
      <c r="L26" s="48" t="s">
        <v>182</v>
      </c>
      <c r="M26" s="42"/>
      <c r="N26" s="42"/>
      <c r="O26" s="42"/>
      <c r="P26" s="42"/>
      <c r="Q26" s="42"/>
      <c r="R26" s="42"/>
      <c r="S26" s="44"/>
      <c r="T26" s="207" t="s">
        <v>40</v>
      </c>
      <c r="U26" s="208"/>
      <c r="V26" s="209"/>
      <c r="W26" s="202">
        <v>7</v>
      </c>
      <c r="X26" s="204"/>
      <c r="Y26" s="202">
        <v>7</v>
      </c>
      <c r="Z26" s="204"/>
      <c r="AA26" s="215"/>
      <c r="AB26" s="216"/>
      <c r="AC26" s="46"/>
      <c r="AD26" s="24"/>
      <c r="AE26" s="24"/>
      <c r="AF26" s="24"/>
      <c r="AG26" s="51"/>
      <c r="AH26" s="215"/>
      <c r="AI26" s="216"/>
      <c r="AJ26" s="100"/>
      <c r="AK26" s="102"/>
      <c r="AL26" s="215"/>
      <c r="AM26" s="217"/>
      <c r="AN26" s="216"/>
      <c r="AO26" s="205"/>
      <c r="AP26" s="205"/>
      <c r="AQ26" s="205"/>
      <c r="AR26" s="205"/>
      <c r="AS26" s="205"/>
      <c r="AT26" s="205"/>
      <c r="AU26" s="205"/>
      <c r="AV26" s="205"/>
      <c r="AW26" s="205"/>
      <c r="AX26" s="205"/>
      <c r="AY26" s="206"/>
    </row>
    <row r="27" spans="1:51">
      <c r="A27" s="218">
        <f t="shared" si="0"/>
        <v>16</v>
      </c>
      <c r="B27" s="219"/>
      <c r="C27" s="48" t="s">
        <v>183</v>
      </c>
      <c r="D27" s="42"/>
      <c r="E27" s="42"/>
      <c r="F27" s="42"/>
      <c r="G27" s="42"/>
      <c r="H27" s="42"/>
      <c r="I27" s="42"/>
      <c r="J27" s="42"/>
      <c r="K27" s="44"/>
      <c r="L27" s="48" t="s">
        <v>183</v>
      </c>
      <c r="M27" s="42"/>
      <c r="N27" s="42"/>
      <c r="O27" s="42"/>
      <c r="P27" s="42"/>
      <c r="Q27" s="42"/>
      <c r="R27" s="42"/>
      <c r="S27" s="44"/>
      <c r="T27" s="207" t="s">
        <v>40</v>
      </c>
      <c r="U27" s="208"/>
      <c r="V27" s="209"/>
      <c r="W27" s="202">
        <v>40</v>
      </c>
      <c r="X27" s="204"/>
      <c r="Y27" s="202">
        <v>40</v>
      </c>
      <c r="Z27" s="204"/>
      <c r="AA27" s="220"/>
      <c r="AB27" s="221"/>
      <c r="AC27" s="45"/>
      <c r="AD27" s="23"/>
      <c r="AE27" s="23"/>
      <c r="AF27" s="23"/>
      <c r="AG27" s="50"/>
      <c r="AH27" s="220"/>
      <c r="AI27" s="221"/>
      <c r="AJ27" s="223"/>
      <c r="AK27" s="224"/>
      <c r="AL27" s="220"/>
      <c r="AM27" s="222"/>
      <c r="AN27" s="221"/>
      <c r="AO27" s="205"/>
      <c r="AP27" s="205"/>
      <c r="AQ27" s="205"/>
      <c r="AR27" s="205"/>
      <c r="AS27" s="205"/>
      <c r="AT27" s="205"/>
      <c r="AU27" s="205"/>
      <c r="AV27" s="205"/>
      <c r="AW27" s="205"/>
      <c r="AX27" s="205"/>
      <c r="AY27" s="206"/>
    </row>
    <row r="28" spans="1:51">
      <c r="A28" s="218">
        <f t="shared" si="0"/>
        <v>17</v>
      </c>
      <c r="B28" s="219"/>
      <c r="C28" s="48" t="s">
        <v>184</v>
      </c>
      <c r="D28" s="42"/>
      <c r="E28" s="42"/>
      <c r="F28" s="42"/>
      <c r="G28" s="42"/>
      <c r="H28" s="42"/>
      <c r="I28" s="42"/>
      <c r="J28" s="42"/>
      <c r="K28" s="44"/>
      <c r="L28" s="48" t="s">
        <v>184</v>
      </c>
      <c r="M28" s="42"/>
      <c r="N28" s="42"/>
      <c r="O28" s="42"/>
      <c r="P28" s="42"/>
      <c r="Q28" s="42"/>
      <c r="R28" s="42"/>
      <c r="S28" s="44"/>
      <c r="T28" s="207" t="s">
        <v>40</v>
      </c>
      <c r="U28" s="208"/>
      <c r="V28" s="209"/>
      <c r="W28" s="202">
        <v>60</v>
      </c>
      <c r="X28" s="204"/>
      <c r="Y28" s="202">
        <v>60</v>
      </c>
      <c r="Z28" s="204"/>
      <c r="AA28" s="202"/>
      <c r="AB28" s="204"/>
      <c r="AC28" s="45"/>
      <c r="AD28" s="23"/>
      <c r="AE28" s="23"/>
      <c r="AF28" s="23"/>
      <c r="AG28" s="50"/>
      <c r="AH28" s="202"/>
      <c r="AI28" s="204"/>
      <c r="AJ28" s="100"/>
      <c r="AK28" s="102"/>
      <c r="AL28" s="202"/>
      <c r="AM28" s="203"/>
      <c r="AN28" s="204"/>
      <c r="AO28" s="205"/>
      <c r="AP28" s="205"/>
      <c r="AQ28" s="205"/>
      <c r="AR28" s="205"/>
      <c r="AS28" s="205"/>
      <c r="AT28" s="205"/>
      <c r="AU28" s="205"/>
      <c r="AV28" s="205"/>
      <c r="AW28" s="205"/>
      <c r="AX28" s="205"/>
      <c r="AY28" s="206"/>
    </row>
    <row r="29" spans="1:51">
      <c r="A29" s="218">
        <f t="shared" si="0"/>
        <v>18</v>
      </c>
      <c r="B29" s="219"/>
      <c r="C29" s="48" t="s">
        <v>185</v>
      </c>
      <c r="D29" s="42"/>
      <c r="E29" s="42"/>
      <c r="F29" s="42"/>
      <c r="G29" s="42"/>
      <c r="H29" s="42"/>
      <c r="I29" s="42"/>
      <c r="J29" s="42"/>
      <c r="K29" s="44"/>
      <c r="L29" s="48" t="s">
        <v>185</v>
      </c>
      <c r="M29" s="42"/>
      <c r="N29" s="42"/>
      <c r="O29" s="42"/>
      <c r="P29" s="42"/>
      <c r="Q29" s="42"/>
      <c r="R29" s="42"/>
      <c r="S29" s="44"/>
      <c r="T29" s="207" t="s">
        <v>40</v>
      </c>
      <c r="U29" s="208"/>
      <c r="V29" s="209"/>
      <c r="W29" s="202">
        <v>60</v>
      </c>
      <c r="X29" s="204"/>
      <c r="Y29" s="202">
        <v>60</v>
      </c>
      <c r="Z29" s="204"/>
      <c r="AA29" s="202"/>
      <c r="AB29" s="204"/>
      <c r="AC29" s="45"/>
      <c r="AD29" s="23"/>
      <c r="AE29" s="23"/>
      <c r="AF29" s="23"/>
      <c r="AG29" s="50"/>
      <c r="AH29" s="202"/>
      <c r="AI29" s="204"/>
      <c r="AJ29" s="100"/>
      <c r="AK29" s="102"/>
      <c r="AL29" s="202"/>
      <c r="AM29" s="203"/>
      <c r="AN29" s="204"/>
      <c r="AO29" s="205"/>
      <c r="AP29" s="205"/>
      <c r="AQ29" s="205"/>
      <c r="AR29" s="205"/>
      <c r="AS29" s="205"/>
      <c r="AT29" s="205"/>
      <c r="AU29" s="205"/>
      <c r="AV29" s="205"/>
      <c r="AW29" s="205"/>
      <c r="AX29" s="205"/>
      <c r="AY29" s="206"/>
    </row>
    <row r="30" spans="1:51">
      <c r="A30" s="218">
        <f t="shared" si="0"/>
        <v>19</v>
      </c>
      <c r="B30" s="219"/>
      <c r="C30" s="48" t="s">
        <v>140</v>
      </c>
      <c r="D30" s="42"/>
      <c r="E30" s="42"/>
      <c r="F30" s="42"/>
      <c r="G30" s="42"/>
      <c r="H30" s="42"/>
      <c r="I30" s="42"/>
      <c r="J30" s="42"/>
      <c r="K30" s="44"/>
      <c r="L30" s="48" t="s">
        <v>140</v>
      </c>
      <c r="M30" s="42"/>
      <c r="N30" s="42"/>
      <c r="O30" s="42"/>
      <c r="P30" s="42"/>
      <c r="Q30" s="42"/>
      <c r="R30" s="42"/>
      <c r="S30" s="44"/>
      <c r="T30" s="207" t="s">
        <v>40</v>
      </c>
      <c r="U30" s="208"/>
      <c r="V30" s="209"/>
      <c r="W30" s="202">
        <v>15</v>
      </c>
      <c r="X30" s="204"/>
      <c r="Y30" s="202">
        <v>15</v>
      </c>
      <c r="Z30" s="204"/>
      <c r="AA30" s="220"/>
      <c r="AB30" s="221"/>
      <c r="AC30" s="45"/>
      <c r="AD30" s="23"/>
      <c r="AE30" s="23"/>
      <c r="AF30" s="23"/>
      <c r="AG30" s="50"/>
      <c r="AH30" s="220"/>
      <c r="AI30" s="221"/>
      <c r="AJ30" s="223"/>
      <c r="AK30" s="224"/>
      <c r="AL30" s="220"/>
      <c r="AM30" s="222"/>
      <c r="AN30" s="221"/>
      <c r="AO30" s="205"/>
      <c r="AP30" s="205"/>
      <c r="AQ30" s="205"/>
      <c r="AR30" s="205"/>
      <c r="AS30" s="205"/>
      <c r="AT30" s="205"/>
      <c r="AU30" s="205"/>
      <c r="AV30" s="205"/>
      <c r="AW30" s="205"/>
      <c r="AX30" s="205"/>
      <c r="AY30" s="206"/>
    </row>
    <row r="31" spans="1:51">
      <c r="A31" s="218">
        <f t="shared" si="0"/>
        <v>20</v>
      </c>
      <c r="B31" s="219"/>
      <c r="C31" s="48" t="s">
        <v>186</v>
      </c>
      <c r="D31" s="42"/>
      <c r="E31" s="42"/>
      <c r="F31" s="42"/>
      <c r="G31" s="42"/>
      <c r="H31" s="42"/>
      <c r="I31" s="42"/>
      <c r="J31" s="42"/>
      <c r="K31" s="44"/>
      <c r="L31" s="48" t="s">
        <v>186</v>
      </c>
      <c r="M31" s="42"/>
      <c r="N31" s="42"/>
      <c r="O31" s="42"/>
      <c r="P31" s="42"/>
      <c r="Q31" s="42"/>
      <c r="R31" s="42"/>
      <c r="S31" s="44"/>
      <c r="T31" s="207" t="s">
        <v>40</v>
      </c>
      <c r="U31" s="208"/>
      <c r="V31" s="209"/>
      <c r="W31" s="202">
        <v>15</v>
      </c>
      <c r="X31" s="204"/>
      <c r="Y31" s="202">
        <v>15</v>
      </c>
      <c r="Z31" s="204"/>
      <c r="AA31" s="220"/>
      <c r="AB31" s="221"/>
      <c r="AC31" s="45"/>
      <c r="AD31" s="23"/>
      <c r="AE31" s="23"/>
      <c r="AF31" s="23"/>
      <c r="AG31" s="50"/>
      <c r="AH31" s="220"/>
      <c r="AI31" s="221"/>
      <c r="AJ31" s="223"/>
      <c r="AK31" s="224"/>
      <c r="AL31" s="220"/>
      <c r="AM31" s="222"/>
      <c r="AN31" s="221"/>
      <c r="AO31" s="205"/>
      <c r="AP31" s="205"/>
      <c r="AQ31" s="205"/>
      <c r="AR31" s="205"/>
      <c r="AS31" s="205"/>
      <c r="AT31" s="205"/>
      <c r="AU31" s="205"/>
      <c r="AV31" s="205"/>
      <c r="AW31" s="205"/>
      <c r="AX31" s="205"/>
      <c r="AY31" s="206"/>
    </row>
    <row r="32" spans="1:51">
      <c r="A32" s="218">
        <f t="shared" si="0"/>
        <v>21</v>
      </c>
      <c r="B32" s="219"/>
      <c r="C32" s="48" t="s">
        <v>188</v>
      </c>
      <c r="D32" s="42"/>
      <c r="E32" s="42"/>
      <c r="F32" s="42"/>
      <c r="G32" s="42"/>
      <c r="H32" s="42"/>
      <c r="I32" s="42"/>
      <c r="J32" s="42"/>
      <c r="K32" s="44"/>
      <c r="L32" s="48" t="s">
        <v>188</v>
      </c>
      <c r="M32" s="42"/>
      <c r="N32" s="42"/>
      <c r="O32" s="42"/>
      <c r="P32" s="42"/>
      <c r="Q32" s="42"/>
      <c r="R32" s="42"/>
      <c r="S32" s="44"/>
      <c r="T32" s="207" t="s">
        <v>42</v>
      </c>
      <c r="U32" s="208"/>
      <c r="V32" s="209"/>
      <c r="W32" s="202" t="s">
        <v>129</v>
      </c>
      <c r="X32" s="204"/>
      <c r="Y32" s="220">
        <v>6</v>
      </c>
      <c r="Z32" s="221"/>
      <c r="AA32" s="220"/>
      <c r="AB32" s="221"/>
      <c r="AC32" s="45"/>
      <c r="AD32" s="23"/>
      <c r="AE32" s="23"/>
      <c r="AF32" s="23"/>
      <c r="AG32" s="50"/>
      <c r="AH32" s="220"/>
      <c r="AI32" s="221"/>
      <c r="AJ32" s="223"/>
      <c r="AK32" s="224"/>
      <c r="AL32" s="220"/>
      <c r="AM32" s="222"/>
      <c r="AN32" s="221"/>
      <c r="AO32" s="205"/>
      <c r="AP32" s="205"/>
      <c r="AQ32" s="205"/>
      <c r="AR32" s="205"/>
      <c r="AS32" s="205"/>
      <c r="AT32" s="205"/>
      <c r="AU32" s="205"/>
      <c r="AV32" s="205"/>
      <c r="AW32" s="205"/>
      <c r="AX32" s="205"/>
      <c r="AY32" s="206"/>
    </row>
    <row r="33" spans="1:51">
      <c r="A33" s="218">
        <f t="shared" si="0"/>
        <v>22</v>
      </c>
      <c r="B33" s="219"/>
      <c r="C33" s="48"/>
      <c r="D33" s="42"/>
      <c r="E33" s="42"/>
      <c r="F33" s="42"/>
      <c r="G33" s="42"/>
      <c r="H33" s="42"/>
      <c r="I33" s="42"/>
      <c r="J33" s="42"/>
      <c r="K33" s="44"/>
      <c r="L33" s="48"/>
      <c r="M33" s="42"/>
      <c r="N33" s="42"/>
      <c r="O33" s="42"/>
      <c r="P33" s="42"/>
      <c r="Q33" s="42"/>
      <c r="R33" s="42"/>
      <c r="S33" s="44"/>
      <c r="T33" s="207"/>
      <c r="U33" s="208"/>
      <c r="V33" s="209"/>
      <c r="W33" s="202"/>
      <c r="X33" s="204"/>
      <c r="Y33" s="220"/>
      <c r="Z33" s="221"/>
      <c r="AA33" s="220"/>
      <c r="AB33" s="221"/>
      <c r="AC33" s="45"/>
      <c r="AD33" s="23"/>
      <c r="AE33" s="23"/>
      <c r="AF33" s="23"/>
      <c r="AG33" s="50"/>
      <c r="AH33" s="220"/>
      <c r="AI33" s="221"/>
      <c r="AJ33" s="223"/>
      <c r="AK33" s="224"/>
      <c r="AL33" s="220"/>
      <c r="AM33" s="222"/>
      <c r="AN33" s="221"/>
      <c r="AO33" s="205"/>
      <c r="AP33" s="205"/>
      <c r="AQ33" s="205"/>
      <c r="AR33" s="205"/>
      <c r="AS33" s="205"/>
      <c r="AT33" s="205"/>
      <c r="AU33" s="205"/>
      <c r="AV33" s="205"/>
      <c r="AW33" s="205"/>
      <c r="AX33" s="205"/>
      <c r="AY33" s="206"/>
    </row>
    <row r="34" spans="1:51">
      <c r="A34" s="218">
        <f t="shared" si="0"/>
        <v>23</v>
      </c>
      <c r="B34" s="219"/>
      <c r="C34" s="48"/>
      <c r="D34" s="42"/>
      <c r="E34" s="42"/>
      <c r="F34" s="42"/>
      <c r="G34" s="42"/>
      <c r="H34" s="42"/>
      <c r="I34" s="42"/>
      <c r="J34" s="42"/>
      <c r="K34" s="44"/>
      <c r="L34" s="48"/>
      <c r="M34" s="42"/>
      <c r="N34" s="42"/>
      <c r="O34" s="42"/>
      <c r="P34" s="42"/>
      <c r="Q34" s="42"/>
      <c r="R34" s="42"/>
      <c r="S34" s="44"/>
      <c r="T34" s="207"/>
      <c r="U34" s="208"/>
      <c r="V34" s="209"/>
      <c r="W34" s="202"/>
      <c r="X34" s="204"/>
      <c r="Y34" s="202"/>
      <c r="Z34" s="204"/>
      <c r="AA34" s="220"/>
      <c r="AB34" s="221"/>
      <c r="AC34" s="45"/>
      <c r="AD34" s="23"/>
      <c r="AE34" s="23"/>
      <c r="AF34" s="23"/>
      <c r="AG34" s="50"/>
      <c r="AH34" s="220"/>
      <c r="AI34" s="221"/>
      <c r="AJ34" s="223"/>
      <c r="AK34" s="224"/>
      <c r="AL34" s="220"/>
      <c r="AM34" s="222"/>
      <c r="AN34" s="221"/>
      <c r="AO34" s="205"/>
      <c r="AP34" s="205"/>
      <c r="AQ34" s="205"/>
      <c r="AR34" s="205"/>
      <c r="AS34" s="205"/>
      <c r="AT34" s="205"/>
      <c r="AU34" s="205"/>
      <c r="AV34" s="205"/>
      <c r="AW34" s="205"/>
      <c r="AX34" s="205"/>
      <c r="AY34" s="206"/>
    </row>
    <row r="35" spans="1:51">
      <c r="A35" s="218">
        <f t="shared" si="0"/>
        <v>24</v>
      </c>
      <c r="B35" s="219"/>
      <c r="C35" s="48"/>
      <c r="D35" s="42"/>
      <c r="E35" s="42"/>
      <c r="F35" s="42"/>
      <c r="G35" s="42"/>
      <c r="H35" s="42"/>
      <c r="I35" s="42"/>
      <c r="J35" s="42"/>
      <c r="K35" s="44"/>
      <c r="L35" s="48"/>
      <c r="M35" s="42"/>
      <c r="N35" s="42"/>
      <c r="O35" s="42"/>
      <c r="P35" s="42"/>
      <c r="Q35" s="42"/>
      <c r="R35" s="42"/>
      <c r="S35" s="44"/>
      <c r="T35" s="207"/>
      <c r="U35" s="208"/>
      <c r="V35" s="209"/>
      <c r="W35" s="202"/>
      <c r="X35" s="204"/>
      <c r="Y35" s="202"/>
      <c r="Z35" s="204"/>
      <c r="AA35" s="220"/>
      <c r="AB35" s="221"/>
      <c r="AC35" s="45"/>
      <c r="AD35" s="23"/>
      <c r="AE35" s="23"/>
      <c r="AF35" s="23"/>
      <c r="AG35" s="50"/>
      <c r="AH35" s="220"/>
      <c r="AI35" s="221"/>
      <c r="AJ35" s="223"/>
      <c r="AK35" s="224"/>
      <c r="AL35" s="220"/>
      <c r="AM35" s="222"/>
      <c r="AN35" s="221"/>
      <c r="AO35" s="205"/>
      <c r="AP35" s="205"/>
      <c r="AQ35" s="205"/>
      <c r="AR35" s="205"/>
      <c r="AS35" s="205"/>
      <c r="AT35" s="205"/>
      <c r="AU35" s="205"/>
      <c r="AV35" s="205"/>
      <c r="AW35" s="205"/>
      <c r="AX35" s="205"/>
      <c r="AY35" s="206"/>
    </row>
    <row r="36" spans="1:51">
      <c r="A36" s="218">
        <f t="shared" si="0"/>
        <v>25</v>
      </c>
      <c r="B36" s="219"/>
      <c r="C36" s="48"/>
      <c r="D36" s="42"/>
      <c r="E36" s="42"/>
      <c r="F36" s="42"/>
      <c r="G36" s="42"/>
      <c r="H36" s="42"/>
      <c r="I36" s="42"/>
      <c r="J36" s="42"/>
      <c r="K36" s="44"/>
      <c r="L36" s="48"/>
      <c r="M36" s="42"/>
      <c r="N36" s="42"/>
      <c r="O36" s="42"/>
      <c r="P36" s="42"/>
      <c r="Q36" s="42"/>
      <c r="R36" s="42"/>
      <c r="S36" s="44"/>
      <c r="T36" s="207"/>
      <c r="U36" s="208"/>
      <c r="V36" s="209"/>
      <c r="W36" s="202"/>
      <c r="X36" s="204"/>
      <c r="Y36" s="220"/>
      <c r="Z36" s="221"/>
      <c r="AA36" s="215"/>
      <c r="AB36" s="216"/>
      <c r="AC36" s="46"/>
      <c r="AD36" s="24"/>
      <c r="AE36" s="24"/>
      <c r="AF36" s="24"/>
      <c r="AG36" s="51"/>
      <c r="AH36" s="215"/>
      <c r="AI36" s="216"/>
      <c r="AJ36" s="212"/>
      <c r="AK36" s="213"/>
      <c r="AL36" s="215"/>
      <c r="AM36" s="217"/>
      <c r="AN36" s="216"/>
      <c r="AO36" s="205"/>
      <c r="AP36" s="205"/>
      <c r="AQ36" s="205"/>
      <c r="AR36" s="205"/>
      <c r="AS36" s="205"/>
      <c r="AT36" s="205"/>
      <c r="AU36" s="205"/>
      <c r="AV36" s="205"/>
      <c r="AW36" s="205"/>
      <c r="AX36" s="205"/>
      <c r="AY36" s="206"/>
    </row>
    <row r="37" spans="1:51">
      <c r="A37" s="202">
        <f t="shared" si="0"/>
        <v>26</v>
      </c>
      <c r="B37" s="204"/>
      <c r="C37" s="48"/>
      <c r="D37" s="42"/>
      <c r="E37" s="42"/>
      <c r="F37" s="42"/>
      <c r="G37" s="42"/>
      <c r="H37" s="42"/>
      <c r="I37" s="42"/>
      <c r="J37" s="42"/>
      <c r="K37" s="44"/>
      <c r="L37" s="48"/>
      <c r="M37" s="42"/>
      <c r="N37" s="42"/>
      <c r="O37" s="42"/>
      <c r="P37" s="42"/>
      <c r="Q37" s="42"/>
      <c r="R37" s="42"/>
      <c r="S37" s="44"/>
      <c r="T37" s="207"/>
      <c r="U37" s="208"/>
      <c r="V37" s="209"/>
      <c r="W37" s="202"/>
      <c r="X37" s="204"/>
      <c r="Y37" s="220"/>
      <c r="Z37" s="221"/>
      <c r="AA37" s="215"/>
      <c r="AB37" s="216"/>
      <c r="AC37" s="46"/>
      <c r="AD37" s="24"/>
      <c r="AE37" s="24"/>
      <c r="AF37" s="24"/>
      <c r="AG37" s="51"/>
      <c r="AH37" s="215"/>
      <c r="AI37" s="216"/>
      <c r="AJ37" s="212"/>
      <c r="AK37" s="213"/>
      <c r="AL37" s="215"/>
      <c r="AM37" s="217"/>
      <c r="AN37" s="216"/>
      <c r="AO37" s="205"/>
      <c r="AP37" s="205"/>
      <c r="AQ37" s="205"/>
      <c r="AR37" s="205"/>
      <c r="AS37" s="205"/>
      <c r="AT37" s="205"/>
      <c r="AU37" s="205"/>
      <c r="AV37" s="205"/>
      <c r="AW37" s="205"/>
      <c r="AX37" s="205"/>
      <c r="AY37" s="206"/>
    </row>
    <row r="38" spans="1:51">
      <c r="A38" s="218">
        <f t="shared" si="0"/>
        <v>27</v>
      </c>
      <c r="B38" s="219"/>
      <c r="C38" s="48"/>
      <c r="D38" s="42"/>
      <c r="E38" s="42"/>
      <c r="F38" s="42"/>
      <c r="G38" s="42"/>
      <c r="H38" s="42"/>
      <c r="I38" s="42"/>
      <c r="J38" s="42"/>
      <c r="K38" s="44"/>
      <c r="L38" s="48"/>
      <c r="M38" s="42"/>
      <c r="N38" s="42"/>
      <c r="O38" s="42"/>
      <c r="P38" s="42"/>
      <c r="Q38" s="42"/>
      <c r="R38" s="42"/>
      <c r="S38" s="44"/>
      <c r="T38" s="207"/>
      <c r="U38" s="208"/>
      <c r="V38" s="209"/>
      <c r="W38" s="202"/>
      <c r="X38" s="204"/>
      <c r="Y38" s="202"/>
      <c r="Z38" s="204"/>
      <c r="AA38" s="215"/>
      <c r="AB38" s="216"/>
      <c r="AC38" s="46"/>
      <c r="AD38" s="24"/>
      <c r="AE38" s="24"/>
      <c r="AF38" s="24"/>
      <c r="AG38" s="51"/>
      <c r="AH38" s="215"/>
      <c r="AI38" s="216"/>
      <c r="AJ38" s="212"/>
      <c r="AK38" s="213"/>
      <c r="AL38" s="215"/>
      <c r="AM38" s="217"/>
      <c r="AN38" s="216"/>
      <c r="AO38" s="205"/>
      <c r="AP38" s="205"/>
      <c r="AQ38" s="205"/>
      <c r="AR38" s="205"/>
      <c r="AS38" s="205"/>
      <c r="AT38" s="205"/>
      <c r="AU38" s="205"/>
      <c r="AV38" s="205"/>
      <c r="AW38" s="205"/>
      <c r="AX38" s="205"/>
      <c r="AY38" s="206"/>
    </row>
    <row r="39" spans="1:51">
      <c r="A39" s="202">
        <f t="shared" si="0"/>
        <v>28</v>
      </c>
      <c r="B39" s="204"/>
      <c r="C39" s="48"/>
      <c r="D39" s="42"/>
      <c r="E39" s="42"/>
      <c r="F39" s="42"/>
      <c r="G39" s="42"/>
      <c r="H39" s="42"/>
      <c r="I39" s="42"/>
      <c r="J39" s="42"/>
      <c r="K39" s="44"/>
      <c r="L39" s="48"/>
      <c r="M39" s="42"/>
      <c r="N39" s="42"/>
      <c r="O39" s="42"/>
      <c r="P39" s="42"/>
      <c r="Q39" s="42"/>
      <c r="R39" s="42"/>
      <c r="S39" s="44"/>
      <c r="T39" s="207"/>
      <c r="U39" s="208"/>
      <c r="V39" s="209"/>
      <c r="W39" s="220"/>
      <c r="X39" s="221"/>
      <c r="Y39" s="220"/>
      <c r="Z39" s="221"/>
      <c r="AA39" s="215"/>
      <c r="AB39" s="216"/>
      <c r="AC39" s="46"/>
      <c r="AD39" s="24"/>
      <c r="AE39" s="24"/>
      <c r="AF39" s="24"/>
      <c r="AG39" s="51"/>
      <c r="AH39" s="215"/>
      <c r="AI39" s="216"/>
      <c r="AJ39" s="212"/>
      <c r="AK39" s="213"/>
      <c r="AL39" s="215"/>
      <c r="AM39" s="217"/>
      <c r="AN39" s="216"/>
      <c r="AO39" s="205"/>
      <c r="AP39" s="205"/>
      <c r="AQ39" s="205"/>
      <c r="AR39" s="205"/>
      <c r="AS39" s="205"/>
      <c r="AT39" s="205"/>
      <c r="AU39" s="205"/>
      <c r="AV39" s="205"/>
      <c r="AW39" s="205"/>
      <c r="AX39" s="205"/>
      <c r="AY39" s="206"/>
    </row>
    <row r="40" spans="1:51">
      <c r="A40" s="202">
        <f t="shared" si="0"/>
        <v>29</v>
      </c>
      <c r="B40" s="204"/>
      <c r="C40" s="48"/>
      <c r="D40" s="42"/>
      <c r="E40" s="42"/>
      <c r="F40" s="42"/>
      <c r="G40" s="42"/>
      <c r="H40" s="42"/>
      <c r="I40" s="42"/>
      <c r="J40" s="42"/>
      <c r="K40" s="44"/>
      <c r="L40" s="48"/>
      <c r="M40" s="42"/>
      <c r="N40" s="42"/>
      <c r="O40" s="42"/>
      <c r="P40" s="42"/>
      <c r="Q40" s="42"/>
      <c r="R40" s="42"/>
      <c r="S40" s="44"/>
      <c r="T40" s="207"/>
      <c r="U40" s="208"/>
      <c r="V40" s="209"/>
      <c r="W40" s="220"/>
      <c r="X40" s="221"/>
      <c r="Y40" s="220"/>
      <c r="Z40" s="221"/>
      <c r="AA40" s="215"/>
      <c r="AB40" s="216"/>
      <c r="AC40" s="46"/>
      <c r="AD40" s="24"/>
      <c r="AE40" s="24"/>
      <c r="AF40" s="24"/>
      <c r="AG40" s="51"/>
      <c r="AH40" s="215"/>
      <c r="AI40" s="216"/>
      <c r="AJ40" s="212"/>
      <c r="AK40" s="213"/>
      <c r="AL40" s="215"/>
      <c r="AM40" s="217"/>
      <c r="AN40" s="216"/>
      <c r="AO40" s="205"/>
      <c r="AP40" s="205"/>
      <c r="AQ40" s="205"/>
      <c r="AR40" s="205"/>
      <c r="AS40" s="205"/>
      <c r="AT40" s="205"/>
      <c r="AU40" s="205"/>
      <c r="AV40" s="205"/>
      <c r="AW40" s="205"/>
      <c r="AX40" s="205"/>
      <c r="AY40" s="206"/>
    </row>
    <row r="41" spans="1:51">
      <c r="A41" s="218">
        <f t="shared" si="0"/>
        <v>30</v>
      </c>
      <c r="B41" s="219"/>
      <c r="C41" s="48"/>
      <c r="D41" s="42"/>
      <c r="E41" s="42"/>
      <c r="F41" s="42"/>
      <c r="G41" s="42"/>
      <c r="H41" s="42"/>
      <c r="I41" s="42"/>
      <c r="J41" s="42"/>
      <c r="K41" s="44"/>
      <c r="L41" s="48"/>
      <c r="M41" s="42"/>
      <c r="N41" s="42"/>
      <c r="O41" s="42"/>
      <c r="P41" s="42"/>
      <c r="Q41" s="42"/>
      <c r="R41" s="42"/>
      <c r="S41" s="44"/>
      <c r="T41" s="207"/>
      <c r="U41" s="208"/>
      <c r="V41" s="209"/>
      <c r="W41" s="220"/>
      <c r="X41" s="221"/>
      <c r="Y41" s="220"/>
      <c r="Z41" s="221"/>
      <c r="AA41" s="215"/>
      <c r="AB41" s="216"/>
      <c r="AC41" s="46"/>
      <c r="AD41" s="24"/>
      <c r="AE41" s="24"/>
      <c r="AF41" s="24"/>
      <c r="AG41" s="51"/>
      <c r="AH41" s="215"/>
      <c r="AI41" s="216"/>
      <c r="AJ41" s="212"/>
      <c r="AK41" s="213"/>
      <c r="AL41" s="215"/>
      <c r="AM41" s="217"/>
      <c r="AN41" s="216"/>
      <c r="AO41" s="205"/>
      <c r="AP41" s="205"/>
      <c r="AQ41" s="205"/>
      <c r="AR41" s="205"/>
      <c r="AS41" s="205"/>
      <c r="AT41" s="205"/>
      <c r="AU41" s="205"/>
      <c r="AV41" s="205"/>
      <c r="AW41" s="205"/>
      <c r="AX41" s="205"/>
      <c r="AY41" s="206"/>
    </row>
    <row r="42" spans="1:51">
      <c r="A42" s="202">
        <f t="shared" si="0"/>
        <v>31</v>
      </c>
      <c r="B42" s="204"/>
      <c r="C42" s="48"/>
      <c r="D42" s="42"/>
      <c r="E42" s="42"/>
      <c r="F42" s="42"/>
      <c r="G42" s="42"/>
      <c r="H42" s="42"/>
      <c r="I42" s="42"/>
      <c r="J42" s="42"/>
      <c r="K42" s="44"/>
      <c r="L42" s="48"/>
      <c r="M42" s="42"/>
      <c r="N42" s="42"/>
      <c r="O42" s="42"/>
      <c r="P42" s="42"/>
      <c r="Q42" s="42"/>
      <c r="R42" s="42"/>
      <c r="S42" s="44"/>
      <c r="T42" s="207"/>
      <c r="U42" s="208"/>
      <c r="V42" s="209"/>
      <c r="W42" s="220"/>
      <c r="X42" s="221"/>
      <c r="Y42" s="220"/>
      <c r="Z42" s="221"/>
      <c r="AA42" s="215"/>
      <c r="AB42" s="216"/>
      <c r="AC42" s="46"/>
      <c r="AD42" s="24"/>
      <c r="AE42" s="24"/>
      <c r="AF42" s="24"/>
      <c r="AG42" s="51"/>
      <c r="AH42" s="215"/>
      <c r="AI42" s="216"/>
      <c r="AJ42" s="212"/>
      <c r="AK42" s="213"/>
      <c r="AL42" s="215"/>
      <c r="AM42" s="217"/>
      <c r="AN42" s="216"/>
      <c r="AO42" s="205"/>
      <c r="AP42" s="205"/>
      <c r="AQ42" s="205"/>
      <c r="AR42" s="205"/>
      <c r="AS42" s="205"/>
      <c r="AT42" s="205"/>
      <c r="AU42" s="205"/>
      <c r="AV42" s="205"/>
      <c r="AW42" s="205"/>
      <c r="AX42" s="205"/>
      <c r="AY42" s="206"/>
    </row>
    <row r="43" spans="1:51">
      <c r="A43" s="202">
        <f t="shared" si="0"/>
        <v>32</v>
      </c>
      <c r="B43" s="204"/>
      <c r="C43" s="48"/>
      <c r="D43" s="42"/>
      <c r="E43" s="42"/>
      <c r="F43" s="42"/>
      <c r="G43" s="42"/>
      <c r="H43" s="42"/>
      <c r="I43" s="42"/>
      <c r="J43" s="42"/>
      <c r="K43" s="44"/>
      <c r="L43" s="48"/>
      <c r="M43" s="42"/>
      <c r="N43" s="42"/>
      <c r="O43" s="42"/>
      <c r="P43" s="42"/>
      <c r="Q43" s="42"/>
      <c r="R43" s="42"/>
      <c r="S43" s="44"/>
      <c r="T43" s="207"/>
      <c r="U43" s="208"/>
      <c r="V43" s="209"/>
      <c r="W43" s="220"/>
      <c r="X43" s="221"/>
      <c r="Y43" s="220"/>
      <c r="Z43" s="221"/>
      <c r="AA43" s="215"/>
      <c r="AB43" s="216"/>
      <c r="AC43" s="46"/>
      <c r="AD43" s="24"/>
      <c r="AE43" s="24"/>
      <c r="AF43" s="24"/>
      <c r="AG43" s="51"/>
      <c r="AH43" s="215"/>
      <c r="AI43" s="216"/>
      <c r="AJ43" s="212"/>
      <c r="AK43" s="213"/>
      <c r="AL43" s="215"/>
      <c r="AM43" s="217"/>
      <c r="AN43" s="216"/>
      <c r="AO43" s="205"/>
      <c r="AP43" s="205"/>
      <c r="AQ43" s="205"/>
      <c r="AR43" s="205"/>
      <c r="AS43" s="205"/>
      <c r="AT43" s="205"/>
      <c r="AU43" s="205"/>
      <c r="AV43" s="205"/>
      <c r="AW43" s="205"/>
      <c r="AX43" s="205"/>
      <c r="AY43" s="206"/>
    </row>
    <row r="44" spans="1:51">
      <c r="A44" s="202">
        <f t="shared" si="0"/>
        <v>33</v>
      </c>
      <c r="B44" s="204"/>
      <c r="C44" s="48"/>
      <c r="D44" s="42"/>
      <c r="E44" s="42"/>
      <c r="F44" s="42"/>
      <c r="G44" s="42"/>
      <c r="H44" s="42"/>
      <c r="I44" s="42"/>
      <c r="J44" s="42"/>
      <c r="K44" s="44"/>
      <c r="L44" s="48"/>
      <c r="M44" s="42"/>
      <c r="N44" s="42"/>
      <c r="O44" s="42"/>
      <c r="P44" s="42"/>
      <c r="Q44" s="42"/>
      <c r="R44" s="42"/>
      <c r="S44" s="44"/>
      <c r="T44" s="207"/>
      <c r="U44" s="208"/>
      <c r="V44" s="209"/>
      <c r="W44" s="220"/>
      <c r="X44" s="221"/>
      <c r="Y44" s="220"/>
      <c r="Z44" s="221"/>
      <c r="AA44" s="215"/>
      <c r="AB44" s="216"/>
      <c r="AC44" s="46"/>
      <c r="AD44" s="24"/>
      <c r="AE44" s="24"/>
      <c r="AF44" s="24"/>
      <c r="AG44" s="51"/>
      <c r="AH44" s="215"/>
      <c r="AI44" s="216"/>
      <c r="AJ44" s="212"/>
      <c r="AK44" s="213"/>
      <c r="AL44" s="215"/>
      <c r="AM44" s="217"/>
      <c r="AN44" s="216"/>
      <c r="AO44" s="205"/>
      <c r="AP44" s="205"/>
      <c r="AQ44" s="205"/>
      <c r="AR44" s="205"/>
      <c r="AS44" s="205"/>
      <c r="AT44" s="205"/>
      <c r="AU44" s="205"/>
      <c r="AV44" s="205"/>
      <c r="AW44" s="205"/>
      <c r="AX44" s="205"/>
      <c r="AY44" s="206"/>
    </row>
    <row r="45" spans="1:51">
      <c r="A45" s="202">
        <f t="shared" si="0"/>
        <v>34</v>
      </c>
      <c r="B45" s="204"/>
      <c r="C45" s="48"/>
      <c r="D45" s="42"/>
      <c r="E45" s="42"/>
      <c r="F45" s="42"/>
      <c r="G45" s="42"/>
      <c r="H45" s="42"/>
      <c r="I45" s="42"/>
      <c r="J45" s="42"/>
      <c r="K45" s="44"/>
      <c r="L45" s="48"/>
      <c r="M45" s="42"/>
      <c r="N45" s="42"/>
      <c r="O45" s="42"/>
      <c r="P45" s="42"/>
      <c r="Q45" s="42"/>
      <c r="R45" s="42"/>
      <c r="S45" s="44"/>
      <c r="T45" s="207"/>
      <c r="U45" s="208"/>
      <c r="V45" s="209"/>
      <c r="W45" s="220"/>
      <c r="X45" s="221"/>
      <c r="Y45" s="215"/>
      <c r="Z45" s="216"/>
      <c r="AA45" s="215"/>
      <c r="AB45" s="216"/>
      <c r="AC45" s="46"/>
      <c r="AD45" s="24"/>
      <c r="AE45" s="24"/>
      <c r="AF45" s="24"/>
      <c r="AG45" s="51"/>
      <c r="AH45" s="215"/>
      <c r="AI45" s="216"/>
      <c r="AJ45" s="212"/>
      <c r="AK45" s="213"/>
      <c r="AL45" s="215"/>
      <c r="AM45" s="217"/>
      <c r="AN45" s="216"/>
      <c r="AO45" s="205"/>
      <c r="AP45" s="205"/>
      <c r="AQ45" s="205"/>
      <c r="AR45" s="205"/>
      <c r="AS45" s="205"/>
      <c r="AT45" s="205"/>
      <c r="AU45" s="205"/>
      <c r="AV45" s="205"/>
      <c r="AW45" s="205"/>
      <c r="AX45" s="205"/>
      <c r="AY45" s="206"/>
    </row>
    <row r="46" spans="1:51">
      <c r="A46" s="210">
        <f t="shared" si="0"/>
        <v>35</v>
      </c>
      <c r="B46" s="211"/>
      <c r="C46" s="48"/>
      <c r="D46" s="42"/>
      <c r="E46" s="42"/>
      <c r="F46" s="42"/>
      <c r="G46" s="42"/>
      <c r="H46" s="42"/>
      <c r="I46" s="42"/>
      <c r="J46" s="42"/>
      <c r="K46" s="44"/>
      <c r="L46" s="48"/>
      <c r="M46" s="42"/>
      <c r="N46" s="42"/>
      <c r="O46" s="42"/>
      <c r="P46" s="42"/>
      <c r="Q46" s="42"/>
      <c r="R46" s="42"/>
      <c r="S46" s="44"/>
      <c r="T46" s="207"/>
      <c r="U46" s="208"/>
      <c r="V46" s="209"/>
      <c r="W46" s="220"/>
      <c r="X46" s="221"/>
      <c r="Y46" s="225"/>
      <c r="Z46" s="226"/>
      <c r="AA46" s="225"/>
      <c r="AB46" s="226"/>
      <c r="AC46" s="43"/>
      <c r="AD46" s="10"/>
      <c r="AE46" s="10"/>
      <c r="AF46" s="10"/>
      <c r="AG46" s="52"/>
      <c r="AH46" s="225"/>
      <c r="AI46" s="226"/>
      <c r="AJ46" s="227"/>
      <c r="AK46" s="228"/>
      <c r="AL46" s="225"/>
      <c r="AM46" s="229"/>
      <c r="AN46" s="226"/>
      <c r="AO46" s="230"/>
      <c r="AP46" s="230"/>
      <c r="AQ46" s="230"/>
      <c r="AR46" s="230"/>
      <c r="AS46" s="230"/>
      <c r="AT46" s="230"/>
      <c r="AU46" s="230"/>
      <c r="AV46" s="230"/>
      <c r="AW46" s="230"/>
      <c r="AX46" s="230"/>
      <c r="AY46" s="231"/>
    </row>
    <row r="47" spans="1:51">
      <c r="A47" s="210">
        <f t="shared" si="0"/>
        <v>36</v>
      </c>
      <c r="B47" s="211"/>
      <c r="C47" s="48"/>
      <c r="D47" s="42"/>
      <c r="E47" s="42"/>
      <c r="F47" s="42"/>
      <c r="G47" s="42"/>
      <c r="H47" s="42"/>
      <c r="I47" s="42"/>
      <c r="J47" s="42"/>
      <c r="K47" s="44"/>
      <c r="L47" s="48"/>
      <c r="M47" s="42"/>
      <c r="N47" s="42"/>
      <c r="O47" s="42"/>
      <c r="P47" s="42"/>
      <c r="Q47" s="42"/>
      <c r="R47" s="42"/>
      <c r="S47" s="44"/>
      <c r="T47" s="207"/>
      <c r="U47" s="208"/>
      <c r="V47" s="209"/>
      <c r="W47" s="220"/>
      <c r="X47" s="221"/>
      <c r="Y47" s="225"/>
      <c r="Z47" s="226"/>
      <c r="AA47" s="225"/>
      <c r="AB47" s="226"/>
      <c r="AC47" s="43"/>
      <c r="AD47" s="10"/>
      <c r="AE47" s="10"/>
      <c r="AF47" s="10"/>
      <c r="AG47" s="52"/>
      <c r="AH47" s="225"/>
      <c r="AI47" s="226"/>
      <c r="AJ47" s="227"/>
      <c r="AK47" s="228"/>
      <c r="AL47" s="225"/>
      <c r="AM47" s="229"/>
      <c r="AN47" s="226"/>
      <c r="AO47" s="230"/>
      <c r="AP47" s="230"/>
      <c r="AQ47" s="230"/>
      <c r="AR47" s="230"/>
      <c r="AS47" s="230"/>
      <c r="AT47" s="230"/>
      <c r="AU47" s="230"/>
      <c r="AV47" s="230"/>
      <c r="AW47" s="230"/>
      <c r="AX47" s="230"/>
      <c r="AY47" s="231"/>
    </row>
    <row r="48" spans="1:51">
      <c r="A48" s="210">
        <f t="shared" si="0"/>
        <v>37</v>
      </c>
      <c r="B48" s="211"/>
      <c r="C48" s="48"/>
      <c r="D48" s="42"/>
      <c r="E48" s="42"/>
      <c r="F48" s="42"/>
      <c r="G48" s="42"/>
      <c r="H48" s="42"/>
      <c r="I48" s="42"/>
      <c r="J48" s="42"/>
      <c r="K48" s="44"/>
      <c r="L48" s="48"/>
      <c r="M48" s="42"/>
      <c r="N48" s="42"/>
      <c r="O48" s="42"/>
      <c r="P48" s="42"/>
      <c r="Q48" s="42"/>
      <c r="R48" s="42"/>
      <c r="S48" s="44"/>
      <c r="T48" s="207"/>
      <c r="U48" s="208"/>
      <c r="V48" s="209"/>
      <c r="W48" s="220"/>
      <c r="X48" s="221"/>
      <c r="Y48" s="225"/>
      <c r="Z48" s="226"/>
      <c r="AA48" s="225"/>
      <c r="AB48" s="226"/>
      <c r="AC48" s="43"/>
      <c r="AD48" s="10"/>
      <c r="AE48" s="10"/>
      <c r="AF48" s="10"/>
      <c r="AG48" s="52"/>
      <c r="AH48" s="225"/>
      <c r="AI48" s="226"/>
      <c r="AJ48" s="227"/>
      <c r="AK48" s="228"/>
      <c r="AL48" s="225"/>
      <c r="AM48" s="229"/>
      <c r="AN48" s="226"/>
      <c r="AO48" s="230"/>
      <c r="AP48" s="230"/>
      <c r="AQ48" s="230"/>
      <c r="AR48" s="230"/>
      <c r="AS48" s="230"/>
      <c r="AT48" s="230"/>
      <c r="AU48" s="230"/>
      <c r="AV48" s="230"/>
      <c r="AW48" s="230"/>
      <c r="AX48" s="230"/>
      <c r="AY48" s="231"/>
    </row>
    <row r="49" spans="1:51">
      <c r="A49" s="210">
        <f t="shared" si="0"/>
        <v>38</v>
      </c>
      <c r="B49" s="211"/>
      <c r="C49" s="48"/>
      <c r="D49" s="42"/>
      <c r="E49" s="42"/>
      <c r="F49" s="42"/>
      <c r="G49" s="42"/>
      <c r="H49" s="42"/>
      <c r="I49" s="42"/>
      <c r="J49" s="42"/>
      <c r="K49" s="44"/>
      <c r="L49" s="48"/>
      <c r="M49" s="42"/>
      <c r="N49" s="42"/>
      <c r="O49" s="42"/>
      <c r="P49" s="42"/>
      <c r="Q49" s="42"/>
      <c r="R49" s="42"/>
      <c r="S49" s="44"/>
      <c r="T49" s="207"/>
      <c r="U49" s="208"/>
      <c r="V49" s="209"/>
      <c r="W49" s="220"/>
      <c r="X49" s="221"/>
      <c r="Y49" s="225"/>
      <c r="Z49" s="226"/>
      <c r="AA49" s="225"/>
      <c r="AB49" s="226"/>
      <c r="AC49" s="43"/>
      <c r="AD49" s="10"/>
      <c r="AE49" s="10"/>
      <c r="AF49" s="10"/>
      <c r="AG49" s="52"/>
      <c r="AH49" s="225"/>
      <c r="AI49" s="226"/>
      <c r="AJ49" s="227"/>
      <c r="AK49" s="228"/>
      <c r="AL49" s="225"/>
      <c r="AM49" s="229"/>
      <c r="AN49" s="226"/>
      <c r="AO49" s="230"/>
      <c r="AP49" s="230"/>
      <c r="AQ49" s="230"/>
      <c r="AR49" s="230"/>
      <c r="AS49" s="230"/>
      <c r="AT49" s="230"/>
      <c r="AU49" s="230"/>
      <c r="AV49" s="230"/>
      <c r="AW49" s="230"/>
      <c r="AX49" s="230"/>
      <c r="AY49" s="231"/>
    </row>
    <row r="50" spans="1:51">
      <c r="A50" s="210">
        <f t="shared" si="0"/>
        <v>39</v>
      </c>
      <c r="B50" s="211"/>
      <c r="C50" s="48"/>
      <c r="D50" s="42"/>
      <c r="E50" s="42"/>
      <c r="F50" s="42"/>
      <c r="G50" s="42"/>
      <c r="H50" s="42"/>
      <c r="I50" s="42"/>
      <c r="J50" s="42"/>
      <c r="K50" s="44"/>
      <c r="L50" s="48"/>
      <c r="M50" s="42"/>
      <c r="N50" s="42"/>
      <c r="O50" s="42"/>
      <c r="P50" s="42"/>
      <c r="Q50" s="42"/>
      <c r="R50" s="42"/>
      <c r="S50" s="44"/>
      <c r="T50" s="207"/>
      <c r="U50" s="208"/>
      <c r="V50" s="209"/>
      <c r="W50" s="220"/>
      <c r="X50" s="221"/>
      <c r="Y50" s="225"/>
      <c r="Z50" s="226"/>
      <c r="AA50" s="225"/>
      <c r="AB50" s="226"/>
      <c r="AC50" s="43"/>
      <c r="AD50" s="10"/>
      <c r="AE50" s="10"/>
      <c r="AF50" s="10"/>
      <c r="AG50" s="52"/>
      <c r="AH50" s="225"/>
      <c r="AI50" s="226"/>
      <c r="AJ50" s="227"/>
      <c r="AK50" s="228"/>
      <c r="AL50" s="225"/>
      <c r="AM50" s="229"/>
      <c r="AN50" s="226"/>
      <c r="AO50" s="230"/>
      <c r="AP50" s="230"/>
      <c r="AQ50" s="230"/>
      <c r="AR50" s="230"/>
      <c r="AS50" s="230"/>
      <c r="AT50" s="230"/>
      <c r="AU50" s="230"/>
      <c r="AV50" s="230"/>
      <c r="AW50" s="230"/>
      <c r="AX50" s="230"/>
      <c r="AY50" s="231"/>
    </row>
    <row r="51" spans="1:51">
      <c r="A51" s="210">
        <f t="shared" si="0"/>
        <v>40</v>
      </c>
      <c r="B51" s="211"/>
      <c r="C51" s="48"/>
      <c r="D51" s="42"/>
      <c r="E51" s="42"/>
      <c r="F51" s="42"/>
      <c r="G51" s="42"/>
      <c r="H51" s="42"/>
      <c r="I51" s="42"/>
      <c r="J51" s="42"/>
      <c r="K51" s="44"/>
      <c r="L51" s="48"/>
      <c r="M51" s="42"/>
      <c r="N51" s="42"/>
      <c r="O51" s="42"/>
      <c r="P51" s="42"/>
      <c r="Q51" s="42"/>
      <c r="R51" s="42"/>
      <c r="S51" s="44"/>
      <c r="T51" s="207"/>
      <c r="U51" s="208"/>
      <c r="V51" s="209"/>
      <c r="W51" s="220"/>
      <c r="X51" s="221"/>
      <c r="Y51" s="225"/>
      <c r="Z51" s="226"/>
      <c r="AA51" s="225"/>
      <c r="AB51" s="226"/>
      <c r="AC51" s="43"/>
      <c r="AD51" s="10"/>
      <c r="AE51" s="10"/>
      <c r="AF51" s="10"/>
      <c r="AG51" s="52"/>
      <c r="AH51" s="225"/>
      <c r="AI51" s="226"/>
      <c r="AJ51" s="227"/>
      <c r="AK51" s="228"/>
      <c r="AL51" s="225"/>
      <c r="AM51" s="229"/>
      <c r="AN51" s="226"/>
      <c r="AO51" s="230"/>
      <c r="AP51" s="230"/>
      <c r="AQ51" s="230"/>
      <c r="AR51" s="230"/>
      <c r="AS51" s="230"/>
      <c r="AT51" s="230"/>
      <c r="AU51" s="230"/>
      <c r="AV51" s="230"/>
      <c r="AW51" s="230"/>
      <c r="AX51" s="230"/>
      <c r="AY51" s="231"/>
    </row>
    <row r="52" spans="1:51">
      <c r="A52" s="210">
        <f t="shared" si="0"/>
        <v>41</v>
      </c>
      <c r="B52" s="211"/>
      <c r="C52" s="48"/>
      <c r="D52" s="42"/>
      <c r="E52" s="42"/>
      <c r="F52" s="42"/>
      <c r="G52" s="42"/>
      <c r="H52" s="42"/>
      <c r="I52" s="42"/>
      <c r="J52" s="42"/>
      <c r="K52" s="44"/>
      <c r="L52" s="48"/>
      <c r="M52" s="42"/>
      <c r="N52" s="42"/>
      <c r="O52" s="42"/>
      <c r="P52" s="42"/>
      <c r="Q52" s="42"/>
      <c r="R52" s="42"/>
      <c r="S52" s="44"/>
      <c r="T52" s="207"/>
      <c r="U52" s="208"/>
      <c r="V52" s="209"/>
      <c r="W52" s="225"/>
      <c r="X52" s="226"/>
      <c r="Y52" s="225"/>
      <c r="Z52" s="226"/>
      <c r="AA52" s="225"/>
      <c r="AB52" s="226"/>
      <c r="AC52" s="43"/>
      <c r="AD52" s="10"/>
      <c r="AE52" s="10"/>
      <c r="AF52" s="10"/>
      <c r="AG52" s="52"/>
      <c r="AH52" s="225"/>
      <c r="AI52" s="226"/>
      <c r="AJ52" s="227"/>
      <c r="AK52" s="228"/>
      <c r="AL52" s="225"/>
      <c r="AM52" s="229"/>
      <c r="AN52" s="226"/>
      <c r="AO52" s="230"/>
      <c r="AP52" s="230"/>
      <c r="AQ52" s="230"/>
      <c r="AR52" s="230"/>
      <c r="AS52" s="230"/>
      <c r="AT52" s="230"/>
      <c r="AU52" s="230"/>
      <c r="AV52" s="230"/>
      <c r="AW52" s="230"/>
      <c r="AX52" s="230"/>
      <c r="AY52" s="231"/>
    </row>
    <row r="53" spans="1:51">
      <c r="A53" s="210">
        <f t="shared" si="0"/>
        <v>42</v>
      </c>
      <c r="B53" s="211"/>
      <c r="C53" s="48"/>
      <c r="D53" s="42"/>
      <c r="E53" s="42"/>
      <c r="F53" s="42"/>
      <c r="G53" s="42"/>
      <c r="H53" s="42"/>
      <c r="I53" s="42"/>
      <c r="J53" s="42"/>
      <c r="K53" s="44"/>
      <c r="L53" s="48"/>
      <c r="M53" s="42"/>
      <c r="N53" s="42"/>
      <c r="O53" s="42"/>
      <c r="P53" s="42"/>
      <c r="Q53" s="42"/>
      <c r="R53" s="42"/>
      <c r="S53" s="44"/>
      <c r="T53" s="207"/>
      <c r="U53" s="208"/>
      <c r="V53" s="209"/>
      <c r="W53" s="225"/>
      <c r="X53" s="226"/>
      <c r="Y53" s="225"/>
      <c r="Z53" s="226"/>
      <c r="AA53" s="225"/>
      <c r="AB53" s="226"/>
      <c r="AC53" s="43"/>
      <c r="AD53" s="10"/>
      <c r="AE53" s="10"/>
      <c r="AF53" s="10"/>
      <c r="AG53" s="52"/>
      <c r="AH53" s="225"/>
      <c r="AI53" s="226"/>
      <c r="AJ53" s="227"/>
      <c r="AK53" s="228"/>
      <c r="AL53" s="225"/>
      <c r="AM53" s="229"/>
      <c r="AN53" s="226"/>
      <c r="AO53" s="230"/>
      <c r="AP53" s="230"/>
      <c r="AQ53" s="230"/>
      <c r="AR53" s="230"/>
      <c r="AS53" s="230"/>
      <c r="AT53" s="230"/>
      <c r="AU53" s="230"/>
      <c r="AV53" s="230"/>
      <c r="AW53" s="230"/>
      <c r="AX53" s="230"/>
      <c r="AY53" s="231"/>
    </row>
    <row r="54" spans="1:51">
      <c r="A54" s="210">
        <f t="shared" si="0"/>
        <v>43</v>
      </c>
      <c r="B54" s="211"/>
      <c r="C54" s="48"/>
      <c r="D54" s="42"/>
      <c r="E54" s="42"/>
      <c r="F54" s="42"/>
      <c r="G54" s="42"/>
      <c r="H54" s="42"/>
      <c r="I54" s="42"/>
      <c r="J54" s="42"/>
      <c r="K54" s="44"/>
      <c r="L54" s="48"/>
      <c r="M54" s="42"/>
      <c r="N54" s="42"/>
      <c r="O54" s="42"/>
      <c r="P54" s="42"/>
      <c r="Q54" s="42"/>
      <c r="R54" s="42"/>
      <c r="S54" s="44"/>
      <c r="T54" s="207"/>
      <c r="U54" s="208"/>
      <c r="V54" s="209"/>
      <c r="W54" s="225"/>
      <c r="X54" s="226"/>
      <c r="Y54" s="225"/>
      <c r="Z54" s="226"/>
      <c r="AA54" s="225"/>
      <c r="AB54" s="226"/>
      <c r="AC54" s="43"/>
      <c r="AD54" s="10"/>
      <c r="AE54" s="10"/>
      <c r="AF54" s="10"/>
      <c r="AG54" s="52"/>
      <c r="AH54" s="225"/>
      <c r="AI54" s="226"/>
      <c r="AJ54" s="227"/>
      <c r="AK54" s="228"/>
      <c r="AL54" s="225"/>
      <c r="AM54" s="229"/>
      <c r="AN54" s="226"/>
      <c r="AO54" s="230"/>
      <c r="AP54" s="230"/>
      <c r="AQ54" s="230"/>
      <c r="AR54" s="230"/>
      <c r="AS54" s="230"/>
      <c r="AT54" s="230"/>
      <c r="AU54" s="230"/>
      <c r="AV54" s="230"/>
      <c r="AW54" s="230"/>
      <c r="AX54" s="230"/>
      <c r="AY54" s="231"/>
    </row>
  </sheetData>
  <mergeCells count="455">
    <mergeCell ref="AO1:AS1"/>
    <mergeCell ref="AT1:AW1"/>
    <mergeCell ref="AX1:AY1"/>
    <mergeCell ref="G2:K2"/>
    <mergeCell ref="AC2:AE5"/>
    <mergeCell ref="AF2:AH5"/>
    <mergeCell ref="AI2:AK2"/>
    <mergeCell ref="AL2:AN2"/>
    <mergeCell ref="AO2:AS2"/>
    <mergeCell ref="AT2:AW2"/>
    <mergeCell ref="G1:K1"/>
    <mergeCell ref="AC1:AE1"/>
    <mergeCell ref="AF1:AH1"/>
    <mergeCell ref="AI1:AK1"/>
    <mergeCell ref="AL1:AN1"/>
    <mergeCell ref="A6:F8"/>
    <mergeCell ref="G6:K6"/>
    <mergeCell ref="L6:AB6"/>
    <mergeCell ref="AC6:AG6"/>
    <mergeCell ref="AH6:AY6"/>
    <mergeCell ref="AX2:AY5"/>
    <mergeCell ref="G3:K3"/>
    <mergeCell ref="AI3:AK3"/>
    <mergeCell ref="AL3:AN3"/>
    <mergeCell ref="AO3:AS3"/>
    <mergeCell ref="AT3:AW3"/>
    <mergeCell ref="G4:K4"/>
    <mergeCell ref="AI4:AK5"/>
    <mergeCell ref="AL4:AN4"/>
    <mergeCell ref="AO4:AS4"/>
    <mergeCell ref="A1:F5"/>
    <mergeCell ref="G7:K7"/>
    <mergeCell ref="L7:AB7"/>
    <mergeCell ref="AC7:AG7"/>
    <mergeCell ref="AH7:AY7"/>
    <mergeCell ref="G8:K8"/>
    <mergeCell ref="L8:AB8"/>
    <mergeCell ref="AC8:AG8"/>
    <mergeCell ref="AH8:AY8"/>
    <mergeCell ref="AT4:AW4"/>
    <mergeCell ref="G5:K5"/>
    <mergeCell ref="AL5:AN5"/>
    <mergeCell ref="AO5:AS5"/>
    <mergeCell ref="AT5:AW5"/>
    <mergeCell ref="AA10:AB10"/>
    <mergeCell ref="AC10:AG10"/>
    <mergeCell ref="AH10:AI10"/>
    <mergeCell ref="AJ10:AK11"/>
    <mergeCell ref="AL10:AN11"/>
    <mergeCell ref="AO10:AY11"/>
    <mergeCell ref="AA11:AB11"/>
    <mergeCell ref="AH11:AI11"/>
    <mergeCell ref="A10:B11"/>
    <mergeCell ref="C10:K11"/>
    <mergeCell ref="L10:S11"/>
    <mergeCell ref="T10:V11"/>
    <mergeCell ref="W10:X11"/>
    <mergeCell ref="Y10:Z11"/>
    <mergeCell ref="A13:B13"/>
    <mergeCell ref="L13:S13"/>
    <mergeCell ref="T13:V13"/>
    <mergeCell ref="W13:X13"/>
    <mergeCell ref="A12:B12"/>
    <mergeCell ref="L12:S12"/>
    <mergeCell ref="T12:V12"/>
    <mergeCell ref="W12:X12"/>
    <mergeCell ref="Y12:Z12"/>
    <mergeCell ref="Y13:Z13"/>
    <mergeCell ref="AA13:AB13"/>
    <mergeCell ref="AH13:AI13"/>
    <mergeCell ref="AJ13:AK13"/>
    <mergeCell ref="AL13:AN13"/>
    <mergeCell ref="AO13:AY13"/>
    <mergeCell ref="AA12:AB12"/>
    <mergeCell ref="AH12:AI12"/>
    <mergeCell ref="AJ12:AK12"/>
    <mergeCell ref="AL12:AN12"/>
    <mergeCell ref="AO12:AY12"/>
    <mergeCell ref="A15:B15"/>
    <mergeCell ref="L15:S15"/>
    <mergeCell ref="T15:V15"/>
    <mergeCell ref="W15:X15"/>
    <mergeCell ref="A14:B14"/>
    <mergeCell ref="L14:S14"/>
    <mergeCell ref="T14:V14"/>
    <mergeCell ref="W14:X14"/>
    <mergeCell ref="Y14:Z14"/>
    <mergeCell ref="Y15:Z15"/>
    <mergeCell ref="AA15:AB15"/>
    <mergeCell ref="AH15:AI15"/>
    <mergeCell ref="AJ15:AK15"/>
    <mergeCell ref="AL15:AN15"/>
    <mergeCell ref="AO15:AY15"/>
    <mergeCell ref="AA14:AB14"/>
    <mergeCell ref="AH14:AI14"/>
    <mergeCell ref="AJ14:AK14"/>
    <mergeCell ref="AL14:AN14"/>
    <mergeCell ref="AO14:AY14"/>
    <mergeCell ref="A17:B17"/>
    <mergeCell ref="L17:S17"/>
    <mergeCell ref="T17:V17"/>
    <mergeCell ref="W17:X17"/>
    <mergeCell ref="A16:B16"/>
    <mergeCell ref="L16:S16"/>
    <mergeCell ref="T16:V16"/>
    <mergeCell ref="W16:X16"/>
    <mergeCell ref="Y16:Z16"/>
    <mergeCell ref="Y17:Z17"/>
    <mergeCell ref="AA17:AB17"/>
    <mergeCell ref="AH17:AI17"/>
    <mergeCell ref="AJ17:AK17"/>
    <mergeCell ref="AL17:AN17"/>
    <mergeCell ref="AO17:AY17"/>
    <mergeCell ref="AA16:AB16"/>
    <mergeCell ref="AH16:AI16"/>
    <mergeCell ref="AJ16:AK16"/>
    <mergeCell ref="AL16:AN16"/>
    <mergeCell ref="AO16:AY16"/>
    <mergeCell ref="A19:B19"/>
    <mergeCell ref="L19:S19"/>
    <mergeCell ref="T19:V19"/>
    <mergeCell ref="W19:X19"/>
    <mergeCell ref="A18:B18"/>
    <mergeCell ref="L18:S18"/>
    <mergeCell ref="T18:V18"/>
    <mergeCell ref="W18:X18"/>
    <mergeCell ref="Y18:Z18"/>
    <mergeCell ref="Y19:Z19"/>
    <mergeCell ref="AA19:AB19"/>
    <mergeCell ref="AH19:AI19"/>
    <mergeCell ref="AJ19:AK19"/>
    <mergeCell ref="AL19:AN19"/>
    <mergeCell ref="AO19:AY19"/>
    <mergeCell ref="AA18:AB18"/>
    <mergeCell ref="AH18:AI18"/>
    <mergeCell ref="AJ18:AK18"/>
    <mergeCell ref="AL18:AN18"/>
    <mergeCell ref="AO18:AY18"/>
    <mergeCell ref="A21:B21"/>
    <mergeCell ref="L21:S21"/>
    <mergeCell ref="T21:V21"/>
    <mergeCell ref="W21:X21"/>
    <mergeCell ref="A20:B20"/>
    <mergeCell ref="L20:S20"/>
    <mergeCell ref="T20:V20"/>
    <mergeCell ref="W20:X20"/>
    <mergeCell ref="Y20:Z20"/>
    <mergeCell ref="Y21:Z21"/>
    <mergeCell ref="AA21:AB21"/>
    <mergeCell ref="AH21:AI21"/>
    <mergeCell ref="AJ21:AK21"/>
    <mergeCell ref="AL21:AN21"/>
    <mergeCell ref="AO21:AY21"/>
    <mergeCell ref="AA20:AB20"/>
    <mergeCell ref="AH20:AI20"/>
    <mergeCell ref="AJ20:AK20"/>
    <mergeCell ref="AL20:AN20"/>
    <mergeCell ref="AO20:AY20"/>
    <mergeCell ref="AJ22:AK22"/>
    <mergeCell ref="AL22:AN22"/>
    <mergeCell ref="AO22:AY22"/>
    <mergeCell ref="A23:B23"/>
    <mergeCell ref="T23:V23"/>
    <mergeCell ref="W23:X23"/>
    <mergeCell ref="Y23:Z23"/>
    <mergeCell ref="AA23:AB23"/>
    <mergeCell ref="AH23:AI23"/>
    <mergeCell ref="AJ23:AK23"/>
    <mergeCell ref="A22:B22"/>
    <mergeCell ref="T22:V22"/>
    <mergeCell ref="W22:X22"/>
    <mergeCell ref="Y22:Z22"/>
    <mergeCell ref="AA22:AB22"/>
    <mergeCell ref="AH22:AI22"/>
    <mergeCell ref="AL23:AN23"/>
    <mergeCell ref="AO23:AY23"/>
    <mergeCell ref="A24:B24"/>
    <mergeCell ref="T24:V24"/>
    <mergeCell ref="W24:X24"/>
    <mergeCell ref="Y24:Z24"/>
    <mergeCell ref="AA24:AB24"/>
    <mergeCell ref="AH24:AI24"/>
    <mergeCell ref="AJ24:AK24"/>
    <mergeCell ref="AL24:AN24"/>
    <mergeCell ref="AO24:AY24"/>
    <mergeCell ref="A25:B25"/>
    <mergeCell ref="T25:V25"/>
    <mergeCell ref="W25:X25"/>
    <mergeCell ref="Y25:Z25"/>
    <mergeCell ref="AA25:AB25"/>
    <mergeCell ref="AH25:AI25"/>
    <mergeCell ref="AJ25:AK25"/>
    <mergeCell ref="AL25:AN25"/>
    <mergeCell ref="AO25:AY25"/>
    <mergeCell ref="AJ26:AK26"/>
    <mergeCell ref="AL26:AN26"/>
    <mergeCell ref="AO26:AY26"/>
    <mergeCell ref="A27:B27"/>
    <mergeCell ref="T27:V27"/>
    <mergeCell ref="W27:X27"/>
    <mergeCell ref="Y27:Z27"/>
    <mergeCell ref="AA27:AB27"/>
    <mergeCell ref="AH27:AI27"/>
    <mergeCell ref="AJ27:AK27"/>
    <mergeCell ref="A26:B26"/>
    <mergeCell ref="T26:V26"/>
    <mergeCell ref="W26:X26"/>
    <mergeCell ref="Y26:Z26"/>
    <mergeCell ref="AA26:AB26"/>
    <mergeCell ref="AH26:AI26"/>
    <mergeCell ref="AL27:AN27"/>
    <mergeCell ref="AO27:AY27"/>
    <mergeCell ref="A28:B28"/>
    <mergeCell ref="T28:V28"/>
    <mergeCell ref="W28:X28"/>
    <mergeCell ref="Y28:Z28"/>
    <mergeCell ref="AA28:AB28"/>
    <mergeCell ref="AH28:AI28"/>
    <mergeCell ref="AJ28:AK28"/>
    <mergeCell ref="AL28:AN28"/>
    <mergeCell ref="AO28:AY28"/>
    <mergeCell ref="A29:B29"/>
    <mergeCell ref="T29:V29"/>
    <mergeCell ref="W29:X29"/>
    <mergeCell ref="Y29:Z29"/>
    <mergeCell ref="AA29:AB29"/>
    <mergeCell ref="AH29:AI29"/>
    <mergeCell ref="AJ29:AK29"/>
    <mergeCell ref="AL29:AN29"/>
    <mergeCell ref="AO29:AY29"/>
    <mergeCell ref="AJ30:AK30"/>
    <mergeCell ref="AL30:AN30"/>
    <mergeCell ref="AO30:AY30"/>
    <mergeCell ref="A31:B31"/>
    <mergeCell ref="T31:V31"/>
    <mergeCell ref="W31:X31"/>
    <mergeCell ref="Y31:Z31"/>
    <mergeCell ref="AA31:AB31"/>
    <mergeCell ref="AH31:AI31"/>
    <mergeCell ref="AJ31:AK31"/>
    <mergeCell ref="A30:B30"/>
    <mergeCell ref="T30:V30"/>
    <mergeCell ref="W30:X30"/>
    <mergeCell ref="Y30:Z30"/>
    <mergeCell ref="AA30:AB30"/>
    <mergeCell ref="AH30:AI30"/>
    <mergeCell ref="AL31:AN31"/>
    <mergeCell ref="AO31:AY31"/>
    <mergeCell ref="A32:B32"/>
    <mergeCell ref="T32:V32"/>
    <mergeCell ref="W32:X32"/>
    <mergeCell ref="Y32:Z32"/>
    <mergeCell ref="AA32:AB32"/>
    <mergeCell ref="AH32:AI32"/>
    <mergeCell ref="AJ32:AK32"/>
    <mergeCell ref="AL32:AN32"/>
    <mergeCell ref="AO32:AY32"/>
    <mergeCell ref="A33:B33"/>
    <mergeCell ref="T33:V33"/>
    <mergeCell ref="W33:X33"/>
    <mergeCell ref="Y33:Z33"/>
    <mergeCell ref="AA33:AB33"/>
    <mergeCell ref="AH33:AI33"/>
    <mergeCell ref="AJ33:AK33"/>
    <mergeCell ref="AL33:AN33"/>
    <mergeCell ref="AO33:AY33"/>
    <mergeCell ref="AJ34:AK34"/>
    <mergeCell ref="AL34:AN34"/>
    <mergeCell ref="AO34:AY34"/>
    <mergeCell ref="A35:B35"/>
    <mergeCell ref="T35:V35"/>
    <mergeCell ref="W35:X35"/>
    <mergeCell ref="Y35:Z35"/>
    <mergeCell ref="AA35:AB35"/>
    <mergeCell ref="AH35:AI35"/>
    <mergeCell ref="AJ35:AK35"/>
    <mergeCell ref="A34:B34"/>
    <mergeCell ref="T34:V34"/>
    <mergeCell ref="W34:X34"/>
    <mergeCell ref="Y34:Z34"/>
    <mergeCell ref="AA34:AB34"/>
    <mergeCell ref="AH34:AI34"/>
    <mergeCell ref="AL35:AN35"/>
    <mergeCell ref="AO35:AY35"/>
    <mergeCell ref="A36:B36"/>
    <mergeCell ref="T36:V36"/>
    <mergeCell ref="W36:X36"/>
    <mergeCell ref="Y36:Z36"/>
    <mergeCell ref="AA36:AB36"/>
    <mergeCell ref="AH36:AI36"/>
    <mergeCell ref="AJ36:AK36"/>
    <mergeCell ref="AL36:AN36"/>
    <mergeCell ref="AO36:AY36"/>
    <mergeCell ref="A37:B37"/>
    <mergeCell ref="T37:V37"/>
    <mergeCell ref="W37:X37"/>
    <mergeCell ref="Y37:Z37"/>
    <mergeCell ref="AA37:AB37"/>
    <mergeCell ref="AH37:AI37"/>
    <mergeCell ref="AJ37:AK37"/>
    <mergeCell ref="AL37:AN37"/>
    <mergeCell ref="AO37:AY37"/>
    <mergeCell ref="AJ38:AK38"/>
    <mergeCell ref="AL38:AN38"/>
    <mergeCell ref="AO38:AY38"/>
    <mergeCell ref="A39:B39"/>
    <mergeCell ref="T39:V39"/>
    <mergeCell ref="W39:X39"/>
    <mergeCell ref="Y39:Z39"/>
    <mergeCell ref="AA39:AB39"/>
    <mergeCell ref="AH39:AI39"/>
    <mergeCell ref="AJ39:AK39"/>
    <mergeCell ref="A38:B38"/>
    <mergeCell ref="T38:V38"/>
    <mergeCell ref="W38:X38"/>
    <mergeCell ref="Y38:Z38"/>
    <mergeCell ref="AA38:AB38"/>
    <mergeCell ref="AH38:AI38"/>
    <mergeCell ref="AL39:AN39"/>
    <mergeCell ref="AO39:AY39"/>
    <mergeCell ref="A40:B40"/>
    <mergeCell ref="T40:V40"/>
    <mergeCell ref="W40:X40"/>
    <mergeCell ref="Y40:Z40"/>
    <mergeCell ref="AA40:AB40"/>
    <mergeCell ref="AH40:AI40"/>
    <mergeCell ref="AJ40:AK40"/>
    <mergeCell ref="AL40:AN40"/>
    <mergeCell ref="AO40:AY40"/>
    <mergeCell ref="A41:B41"/>
    <mergeCell ref="T41:V41"/>
    <mergeCell ref="W41:X41"/>
    <mergeCell ref="Y41:Z41"/>
    <mergeCell ref="AA41:AB41"/>
    <mergeCell ref="AH41:AI41"/>
    <mergeCell ref="AJ41:AK41"/>
    <mergeCell ref="AL41:AN41"/>
    <mergeCell ref="AO41:AY41"/>
    <mergeCell ref="AJ42:AK42"/>
    <mergeCell ref="AL42:AN42"/>
    <mergeCell ref="AO42:AY42"/>
    <mergeCell ref="A43:B43"/>
    <mergeCell ref="T43:V43"/>
    <mergeCell ref="W43:X43"/>
    <mergeCell ref="Y43:Z43"/>
    <mergeCell ref="AA43:AB43"/>
    <mergeCell ref="AH43:AI43"/>
    <mergeCell ref="AJ43:AK43"/>
    <mergeCell ref="A42:B42"/>
    <mergeCell ref="T42:V42"/>
    <mergeCell ref="W42:X42"/>
    <mergeCell ref="Y42:Z42"/>
    <mergeCell ref="AA42:AB42"/>
    <mergeCell ref="AH42:AI42"/>
    <mergeCell ref="AL43:AN43"/>
    <mergeCell ref="AO43:AY43"/>
    <mergeCell ref="A44:B44"/>
    <mergeCell ref="T44:V44"/>
    <mergeCell ref="W44:X44"/>
    <mergeCell ref="Y44:Z44"/>
    <mergeCell ref="AA44:AB44"/>
    <mergeCell ref="AH44:AI44"/>
    <mergeCell ref="AJ44:AK44"/>
    <mergeCell ref="AL44:AN44"/>
    <mergeCell ref="AO44:AY44"/>
    <mergeCell ref="A45:B45"/>
    <mergeCell ref="T45:V45"/>
    <mergeCell ref="W45:X45"/>
    <mergeCell ref="Y45:Z45"/>
    <mergeCell ref="AA45:AB45"/>
    <mergeCell ref="AH45:AI45"/>
    <mergeCell ref="AJ45:AK45"/>
    <mergeCell ref="AL45:AN45"/>
    <mergeCell ref="AO45:AY45"/>
    <mergeCell ref="AJ46:AK46"/>
    <mergeCell ref="AL46:AN46"/>
    <mergeCell ref="AO46:AY46"/>
    <mergeCell ref="A47:B47"/>
    <mergeCell ref="T47:V47"/>
    <mergeCell ref="W47:X47"/>
    <mergeCell ref="Y47:Z47"/>
    <mergeCell ref="AA47:AB47"/>
    <mergeCell ref="AH47:AI47"/>
    <mergeCell ref="AJ47:AK47"/>
    <mergeCell ref="A46:B46"/>
    <mergeCell ref="T46:V46"/>
    <mergeCell ref="W46:X46"/>
    <mergeCell ref="Y46:Z46"/>
    <mergeCell ref="AA46:AB46"/>
    <mergeCell ref="AH46:AI46"/>
    <mergeCell ref="AL47:AN47"/>
    <mergeCell ref="AO47:AY47"/>
    <mergeCell ref="A48:B48"/>
    <mergeCell ref="T48:V48"/>
    <mergeCell ref="W48:X48"/>
    <mergeCell ref="Y48:Z48"/>
    <mergeCell ref="AA48:AB48"/>
    <mergeCell ref="AH48:AI48"/>
    <mergeCell ref="AJ48:AK48"/>
    <mergeCell ref="AL48:AN48"/>
    <mergeCell ref="AO48:AY48"/>
    <mergeCell ref="A49:B49"/>
    <mergeCell ref="T49:V49"/>
    <mergeCell ref="W49:X49"/>
    <mergeCell ref="Y49:Z49"/>
    <mergeCell ref="AA49:AB49"/>
    <mergeCell ref="AH49:AI49"/>
    <mergeCell ref="AJ49:AK49"/>
    <mergeCell ref="AL49:AN49"/>
    <mergeCell ref="AO49:AY49"/>
    <mergeCell ref="AJ50:AK50"/>
    <mergeCell ref="AL50:AN50"/>
    <mergeCell ref="AO50:AY50"/>
    <mergeCell ref="A51:B51"/>
    <mergeCell ref="T51:V51"/>
    <mergeCell ref="W51:X51"/>
    <mergeCell ref="Y51:Z51"/>
    <mergeCell ref="AA51:AB51"/>
    <mergeCell ref="AH51:AI51"/>
    <mergeCell ref="AJ51:AK51"/>
    <mergeCell ref="A50:B50"/>
    <mergeCell ref="T50:V50"/>
    <mergeCell ref="W50:X50"/>
    <mergeCell ref="Y50:Z50"/>
    <mergeCell ref="AA50:AB50"/>
    <mergeCell ref="AH50:AI50"/>
    <mergeCell ref="AL51:AN51"/>
    <mergeCell ref="AO51:AY51"/>
    <mergeCell ref="A52:B52"/>
    <mergeCell ref="T52:V52"/>
    <mergeCell ref="W52:X52"/>
    <mergeCell ref="Y52:Z52"/>
    <mergeCell ref="AA52:AB52"/>
    <mergeCell ref="AH52:AI52"/>
    <mergeCell ref="AJ52:AK52"/>
    <mergeCell ref="AL52:AN52"/>
    <mergeCell ref="AO52:AY52"/>
    <mergeCell ref="A53:B53"/>
    <mergeCell ref="T53:V53"/>
    <mergeCell ref="W53:X53"/>
    <mergeCell ref="Y53:Z53"/>
    <mergeCell ref="AA53:AB53"/>
    <mergeCell ref="AH53:AI53"/>
    <mergeCell ref="AJ53:AK53"/>
    <mergeCell ref="AL53:AN53"/>
    <mergeCell ref="AO53:AY53"/>
    <mergeCell ref="AJ54:AK54"/>
    <mergeCell ref="AL54:AN54"/>
    <mergeCell ref="AO54:AY54"/>
    <mergeCell ref="A54:B54"/>
    <mergeCell ref="T54:V54"/>
    <mergeCell ref="W54:X54"/>
    <mergeCell ref="Y54:Z54"/>
    <mergeCell ref="AA54:AB54"/>
    <mergeCell ref="AH54:AI54"/>
  </mergeCells>
  <phoneticPr fontId="23"/>
  <dataValidations count="1">
    <dataValidation type="list" allowBlank="1" showInputMessage="1" showErrorMessage="1" sqref="T54:V54 T50:T53 T12:V49" xr:uid="{3EF29614-E438-4724-BCA4-9AC367F49523}">
      <formula1>型候補</formula1>
    </dataValidation>
  </dataValidations>
  <hyperlinks>
    <hyperlink ref="A1:F5" location="テーブル一覧!A1" display="テーブル一覧!A1" xr:uid="{38018ED0-FF95-40D5-9B67-B03B64F1B3E1}"/>
  </hyperlinks>
  <pageMargins left="0.70866141732283472" right="0.70866141732283472" top="0.74803149606299213" bottom="0.74803149606299213" header="0.31496062992125984" footer="0.31496062992125984"/>
  <pageSetup paperSize="9" scale="83" fitToHeight="0" orientation="landscape" horizontalDpi="4294967294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22641-FB85-421E-971F-882998A94981}">
  <sheetPr codeName="Sheet39">
    <pageSetUpPr fitToPage="1"/>
  </sheetPr>
  <dimension ref="A1:AY54"/>
  <sheetViews>
    <sheetView view="pageBreakPreview" zoomScaleNormal="100" zoomScaleSheetLayoutView="100" workbookViewId="0">
      <selection activeCell="C12" sqref="C12:C25"/>
    </sheetView>
  </sheetViews>
  <sheetFormatPr defaultColWidth="3.83203125" defaultRowHeight="12"/>
  <cols>
    <col min="1" max="1" width="3.83203125" style="7" customWidth="1"/>
    <col min="2" max="3" width="3.83203125" style="8"/>
    <col min="4" max="49" width="3.83203125" style="7"/>
    <col min="50" max="50" width="4" style="7" customWidth="1"/>
    <col min="51" max="16384" width="3.83203125" style="7"/>
  </cols>
  <sheetData>
    <row r="1" spans="1:51" s="2" customFormat="1">
      <c r="A1" s="162" t="str">
        <f>L5</f>
        <v>テーブル定義書</v>
      </c>
      <c r="B1" s="163"/>
      <c r="C1" s="163"/>
      <c r="D1" s="163"/>
      <c r="E1" s="163"/>
      <c r="F1" s="164"/>
      <c r="G1" s="123" t="s">
        <v>59</v>
      </c>
      <c r="H1" s="113"/>
      <c r="I1" s="113"/>
      <c r="J1" s="113"/>
      <c r="K1" s="113"/>
      <c r="L1" s="1">
        <f>表紙!B8</f>
        <v>0</v>
      </c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24"/>
      <c r="AD1" s="124"/>
      <c r="AE1" s="124"/>
      <c r="AF1" s="124"/>
      <c r="AG1" s="124"/>
      <c r="AH1" s="124"/>
      <c r="AI1" s="113" t="s">
        <v>60</v>
      </c>
      <c r="AJ1" s="113"/>
      <c r="AK1" s="113"/>
      <c r="AL1" s="113" t="s">
        <v>61</v>
      </c>
      <c r="AM1" s="113"/>
      <c r="AN1" s="113"/>
      <c r="AO1" s="113" t="s">
        <v>62</v>
      </c>
      <c r="AP1" s="113"/>
      <c r="AQ1" s="113"/>
      <c r="AR1" s="113"/>
      <c r="AS1" s="113"/>
      <c r="AT1" s="113" t="s">
        <v>55</v>
      </c>
      <c r="AU1" s="113"/>
      <c r="AV1" s="113"/>
      <c r="AW1" s="113"/>
      <c r="AX1" s="113" t="s">
        <v>63</v>
      </c>
      <c r="AY1" s="114"/>
    </row>
    <row r="2" spans="1:51" s="2" customFormat="1">
      <c r="A2" s="165"/>
      <c r="B2" s="166"/>
      <c r="C2" s="166"/>
      <c r="D2" s="166"/>
      <c r="E2" s="166"/>
      <c r="F2" s="167"/>
      <c r="G2" s="115" t="s">
        <v>64</v>
      </c>
      <c r="H2" s="116"/>
      <c r="I2" s="116"/>
      <c r="J2" s="116"/>
      <c r="K2" s="116"/>
      <c r="L2" s="3">
        <f>表紙!M8</f>
        <v>0</v>
      </c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117"/>
      <c r="AD2" s="117"/>
      <c r="AE2" s="117"/>
      <c r="AF2" s="117"/>
      <c r="AG2" s="117"/>
      <c r="AH2" s="117"/>
      <c r="AI2" s="119" t="s">
        <v>65</v>
      </c>
      <c r="AJ2" s="119"/>
      <c r="AK2" s="119"/>
      <c r="AL2" s="120" t="s">
        <v>73</v>
      </c>
      <c r="AM2" s="120"/>
      <c r="AN2" s="120"/>
      <c r="AO2" s="121"/>
      <c r="AP2" s="121"/>
      <c r="AQ2" s="122"/>
      <c r="AR2" s="122"/>
      <c r="AS2" s="122"/>
      <c r="AT2" s="122"/>
      <c r="AU2" s="122"/>
      <c r="AV2" s="122"/>
      <c r="AW2" s="122"/>
      <c r="AX2" s="150" t="s">
        <v>74</v>
      </c>
      <c r="AY2" s="151"/>
    </row>
    <row r="3" spans="1:51" s="2" customFormat="1">
      <c r="A3" s="165"/>
      <c r="B3" s="166"/>
      <c r="C3" s="166"/>
      <c r="D3" s="166"/>
      <c r="E3" s="166"/>
      <c r="F3" s="167"/>
      <c r="G3" s="154" t="s">
        <v>66</v>
      </c>
      <c r="H3" s="119"/>
      <c r="I3" s="119"/>
      <c r="J3" s="119"/>
      <c r="K3" s="119"/>
      <c r="L3" s="4" t="s">
        <v>76</v>
      </c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117"/>
      <c r="AD3" s="117"/>
      <c r="AE3" s="117"/>
      <c r="AF3" s="117"/>
      <c r="AG3" s="117"/>
      <c r="AH3" s="117"/>
      <c r="AI3" s="155" t="s">
        <v>67</v>
      </c>
      <c r="AJ3" s="155"/>
      <c r="AK3" s="155"/>
      <c r="AL3" s="156"/>
      <c r="AM3" s="156"/>
      <c r="AN3" s="156"/>
      <c r="AO3" s="157" t="str">
        <f>IF( $AL3 &lt;&gt; "", VLOOKUP( $AL3, 表紙!$B$15:$AE$47, 5, FALSE ), "" )</f>
        <v/>
      </c>
      <c r="AP3" s="157"/>
      <c r="AQ3" s="158"/>
      <c r="AR3" s="158"/>
      <c r="AS3" s="158"/>
      <c r="AT3" s="158" t="str">
        <f>IF( $AL3 &lt;&gt; "", VLOOKUP( $AL3, 表紙!$B$15:$AE$47, 28, FALSE ), "" )</f>
        <v/>
      </c>
      <c r="AU3" s="158"/>
      <c r="AV3" s="158"/>
      <c r="AW3" s="158"/>
      <c r="AX3" s="150"/>
      <c r="AY3" s="151"/>
    </row>
    <row r="4" spans="1:51" s="2" customFormat="1">
      <c r="A4" s="165"/>
      <c r="B4" s="166"/>
      <c r="C4" s="166"/>
      <c r="D4" s="166"/>
      <c r="E4" s="166"/>
      <c r="F4" s="167"/>
      <c r="G4" s="159" t="s">
        <v>75</v>
      </c>
      <c r="H4" s="155"/>
      <c r="I4" s="155"/>
      <c r="J4" s="155"/>
      <c r="K4" s="15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117"/>
      <c r="AD4" s="117"/>
      <c r="AE4" s="117"/>
      <c r="AF4" s="117"/>
      <c r="AG4" s="117"/>
      <c r="AH4" s="117"/>
      <c r="AI4" s="155" t="s">
        <v>68</v>
      </c>
      <c r="AJ4" s="155"/>
      <c r="AK4" s="155"/>
      <c r="AL4" s="156"/>
      <c r="AM4" s="156"/>
      <c r="AN4" s="156"/>
      <c r="AO4" s="160"/>
      <c r="AP4" s="160"/>
      <c r="AQ4" s="161"/>
      <c r="AR4" s="161"/>
      <c r="AS4" s="161"/>
      <c r="AT4" s="125"/>
      <c r="AU4" s="125"/>
      <c r="AV4" s="125"/>
      <c r="AW4" s="125"/>
      <c r="AX4" s="150"/>
      <c r="AY4" s="151"/>
    </row>
    <row r="5" spans="1:51" s="2" customFormat="1" ht="12.75" thickBot="1">
      <c r="A5" s="168"/>
      <c r="B5" s="169"/>
      <c r="C5" s="169"/>
      <c r="D5" s="169"/>
      <c r="E5" s="169"/>
      <c r="F5" s="170"/>
      <c r="G5" s="126" t="s">
        <v>0</v>
      </c>
      <c r="H5" s="127"/>
      <c r="I5" s="127"/>
      <c r="J5" s="127"/>
      <c r="K5" s="127"/>
      <c r="L5" s="6" t="s">
        <v>87</v>
      </c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118"/>
      <c r="AD5" s="118"/>
      <c r="AE5" s="118"/>
      <c r="AF5" s="118"/>
      <c r="AG5" s="118"/>
      <c r="AH5" s="118"/>
      <c r="AI5" s="127"/>
      <c r="AJ5" s="127"/>
      <c r="AK5" s="127"/>
      <c r="AL5" s="128"/>
      <c r="AM5" s="128"/>
      <c r="AN5" s="128"/>
      <c r="AO5" s="129"/>
      <c r="AP5" s="129"/>
      <c r="AQ5" s="130"/>
      <c r="AR5" s="130"/>
      <c r="AS5" s="130"/>
      <c r="AT5" s="131"/>
      <c r="AU5" s="131"/>
      <c r="AV5" s="131"/>
      <c r="AW5" s="131"/>
      <c r="AX5" s="152"/>
      <c r="AY5" s="153"/>
    </row>
    <row r="6" spans="1:51" s="2" customFormat="1">
      <c r="A6" s="132" t="s">
        <v>1</v>
      </c>
      <c r="B6" s="133"/>
      <c r="C6" s="133"/>
      <c r="D6" s="133"/>
      <c r="E6" s="133"/>
      <c r="F6" s="134"/>
      <c r="G6" s="141" t="s">
        <v>10</v>
      </c>
      <c r="H6" s="142"/>
      <c r="I6" s="142"/>
      <c r="J6" s="142"/>
      <c r="K6" s="142"/>
      <c r="L6" s="143"/>
      <c r="M6" s="144"/>
      <c r="N6" s="144"/>
      <c r="O6" s="144"/>
      <c r="P6" s="144"/>
      <c r="Q6" s="144"/>
      <c r="R6" s="144"/>
      <c r="S6" s="144"/>
      <c r="T6" s="144"/>
      <c r="U6" s="144"/>
      <c r="V6" s="144"/>
      <c r="W6" s="144"/>
      <c r="X6" s="144"/>
      <c r="Y6" s="144"/>
      <c r="Z6" s="144"/>
      <c r="AA6" s="144"/>
      <c r="AB6" s="145"/>
      <c r="AC6" s="146" t="s">
        <v>14</v>
      </c>
      <c r="AD6" s="142"/>
      <c r="AE6" s="142"/>
      <c r="AF6" s="142"/>
      <c r="AG6" s="142"/>
      <c r="AH6" s="147" t="s">
        <v>79</v>
      </c>
      <c r="AI6" s="148"/>
      <c r="AJ6" s="148"/>
      <c r="AK6" s="148"/>
      <c r="AL6" s="148"/>
      <c r="AM6" s="148"/>
      <c r="AN6" s="148"/>
      <c r="AO6" s="148"/>
      <c r="AP6" s="148"/>
      <c r="AQ6" s="148"/>
      <c r="AR6" s="148"/>
      <c r="AS6" s="148"/>
      <c r="AT6" s="148"/>
      <c r="AU6" s="148"/>
      <c r="AV6" s="148"/>
      <c r="AW6" s="148"/>
      <c r="AX6" s="148"/>
      <c r="AY6" s="149"/>
    </row>
    <row r="7" spans="1:51" s="2" customFormat="1">
      <c r="A7" s="135"/>
      <c r="B7" s="136"/>
      <c r="C7" s="136"/>
      <c r="D7" s="136"/>
      <c r="E7" s="136"/>
      <c r="F7" s="137"/>
      <c r="G7" s="171" t="s">
        <v>11</v>
      </c>
      <c r="H7" s="155"/>
      <c r="I7" s="155"/>
      <c r="J7" s="155"/>
      <c r="K7" s="155"/>
      <c r="L7" s="172" t="s">
        <v>143</v>
      </c>
      <c r="M7" s="173"/>
      <c r="N7" s="173"/>
      <c r="O7" s="173"/>
      <c r="P7" s="173"/>
      <c r="Q7" s="173"/>
      <c r="R7" s="173"/>
      <c r="S7" s="173"/>
      <c r="T7" s="173"/>
      <c r="U7" s="173"/>
      <c r="V7" s="173"/>
      <c r="W7" s="173"/>
      <c r="X7" s="173"/>
      <c r="Y7" s="173"/>
      <c r="Z7" s="173"/>
      <c r="AA7" s="173"/>
      <c r="AB7" s="174"/>
      <c r="AC7" s="159" t="s">
        <v>13</v>
      </c>
      <c r="AD7" s="155"/>
      <c r="AE7" s="155"/>
      <c r="AF7" s="155"/>
      <c r="AG7" s="155"/>
      <c r="AH7" s="172" t="s">
        <v>143</v>
      </c>
      <c r="AI7" s="173"/>
      <c r="AJ7" s="173"/>
      <c r="AK7" s="173"/>
      <c r="AL7" s="173"/>
      <c r="AM7" s="173"/>
      <c r="AN7" s="173"/>
      <c r="AO7" s="173"/>
      <c r="AP7" s="173"/>
      <c r="AQ7" s="173"/>
      <c r="AR7" s="173"/>
      <c r="AS7" s="173"/>
      <c r="AT7" s="173"/>
      <c r="AU7" s="173"/>
      <c r="AV7" s="173"/>
      <c r="AW7" s="173"/>
      <c r="AX7" s="173"/>
      <c r="AY7" s="174"/>
    </row>
    <row r="8" spans="1:51" s="2" customFormat="1" ht="12.75" thickBot="1">
      <c r="A8" s="138"/>
      <c r="B8" s="139"/>
      <c r="C8" s="139"/>
      <c r="D8" s="139"/>
      <c r="E8" s="139"/>
      <c r="F8" s="140"/>
      <c r="G8" s="175" t="s">
        <v>12</v>
      </c>
      <c r="H8" s="176"/>
      <c r="I8" s="176"/>
      <c r="J8" s="176"/>
      <c r="K8" s="176"/>
      <c r="L8" s="177" t="s">
        <v>165</v>
      </c>
      <c r="M8" s="178"/>
      <c r="N8" s="178"/>
      <c r="O8" s="178"/>
      <c r="P8" s="178"/>
      <c r="Q8" s="178"/>
      <c r="R8" s="178"/>
      <c r="S8" s="178"/>
      <c r="T8" s="178"/>
      <c r="U8" s="178"/>
      <c r="V8" s="178"/>
      <c r="W8" s="178"/>
      <c r="X8" s="178"/>
      <c r="Y8" s="178"/>
      <c r="Z8" s="178"/>
      <c r="AA8" s="178"/>
      <c r="AB8" s="179"/>
      <c r="AC8" s="180" t="s">
        <v>33</v>
      </c>
      <c r="AD8" s="176"/>
      <c r="AE8" s="176"/>
      <c r="AF8" s="176"/>
      <c r="AG8" s="176"/>
      <c r="AH8" s="177" t="str">
        <f ca="1">RIGHT(CELL("filename",A1),LEN(CELL("filename",A1))-FIND("]",CELL("filename",A1)))</f>
        <v>m_役職</v>
      </c>
      <c r="AI8" s="178"/>
      <c r="AJ8" s="178"/>
      <c r="AK8" s="178"/>
      <c r="AL8" s="178"/>
      <c r="AM8" s="178"/>
      <c r="AN8" s="178"/>
      <c r="AO8" s="178"/>
      <c r="AP8" s="178"/>
      <c r="AQ8" s="178"/>
      <c r="AR8" s="178"/>
      <c r="AS8" s="178"/>
      <c r="AT8" s="178"/>
      <c r="AU8" s="178"/>
      <c r="AV8" s="178"/>
      <c r="AW8" s="178"/>
      <c r="AX8" s="178"/>
      <c r="AY8" s="179"/>
    </row>
    <row r="10" spans="1:51">
      <c r="A10" s="181" t="s">
        <v>15</v>
      </c>
      <c r="B10" s="181"/>
      <c r="C10" s="181" t="s">
        <v>17</v>
      </c>
      <c r="D10" s="181"/>
      <c r="E10" s="181"/>
      <c r="F10" s="181"/>
      <c r="G10" s="181"/>
      <c r="H10" s="181"/>
      <c r="I10" s="181"/>
      <c r="J10" s="181"/>
      <c r="K10" s="181"/>
      <c r="L10" s="183" t="s">
        <v>18</v>
      </c>
      <c r="M10" s="184"/>
      <c r="N10" s="184"/>
      <c r="O10" s="184"/>
      <c r="P10" s="184"/>
      <c r="Q10" s="184"/>
      <c r="R10" s="184"/>
      <c r="S10" s="185"/>
      <c r="T10" s="184" t="s">
        <v>16</v>
      </c>
      <c r="U10" s="184"/>
      <c r="V10" s="185"/>
      <c r="W10" s="181" t="s">
        <v>28</v>
      </c>
      <c r="X10" s="181"/>
      <c r="Y10" s="181" t="s">
        <v>29</v>
      </c>
      <c r="Z10" s="181"/>
      <c r="AA10" s="181" t="s">
        <v>25</v>
      </c>
      <c r="AB10" s="181"/>
      <c r="AC10" s="181" t="s">
        <v>26</v>
      </c>
      <c r="AD10" s="181"/>
      <c r="AE10" s="181"/>
      <c r="AF10" s="181"/>
      <c r="AG10" s="181"/>
      <c r="AH10" s="181" t="s">
        <v>27</v>
      </c>
      <c r="AI10" s="181"/>
      <c r="AJ10" s="182" t="s">
        <v>30</v>
      </c>
      <c r="AK10" s="181"/>
      <c r="AL10" s="181" t="s">
        <v>31</v>
      </c>
      <c r="AM10" s="181"/>
      <c r="AN10" s="181"/>
      <c r="AO10" s="181" t="s">
        <v>32</v>
      </c>
      <c r="AP10" s="181"/>
      <c r="AQ10" s="181"/>
      <c r="AR10" s="181"/>
      <c r="AS10" s="181"/>
      <c r="AT10" s="181"/>
      <c r="AU10" s="181"/>
      <c r="AV10" s="181"/>
      <c r="AW10" s="181"/>
      <c r="AX10" s="181"/>
      <c r="AY10" s="181"/>
    </row>
    <row r="11" spans="1:51">
      <c r="A11" s="181"/>
      <c r="B11" s="181"/>
      <c r="C11" s="181"/>
      <c r="D11" s="181"/>
      <c r="E11" s="181"/>
      <c r="F11" s="181"/>
      <c r="G11" s="181"/>
      <c r="H11" s="181"/>
      <c r="I11" s="181"/>
      <c r="J11" s="181"/>
      <c r="K11" s="181"/>
      <c r="L11" s="186"/>
      <c r="M11" s="187"/>
      <c r="N11" s="187"/>
      <c r="O11" s="187"/>
      <c r="P11" s="187"/>
      <c r="Q11" s="187"/>
      <c r="R11" s="187"/>
      <c r="S11" s="188"/>
      <c r="T11" s="187"/>
      <c r="U11" s="187"/>
      <c r="V11" s="188"/>
      <c r="W11" s="181"/>
      <c r="X11" s="181"/>
      <c r="Y11" s="181"/>
      <c r="Z11" s="181"/>
      <c r="AA11" s="181" t="s">
        <v>24</v>
      </c>
      <c r="AB11" s="181"/>
      <c r="AC11" s="9" t="s">
        <v>19</v>
      </c>
      <c r="AD11" s="9" t="s">
        <v>20</v>
      </c>
      <c r="AE11" s="9" t="s">
        <v>21</v>
      </c>
      <c r="AF11" s="9" t="s">
        <v>22</v>
      </c>
      <c r="AG11" s="9" t="s">
        <v>23</v>
      </c>
      <c r="AH11" s="181" t="s">
        <v>24</v>
      </c>
      <c r="AI11" s="181"/>
      <c r="AJ11" s="181"/>
      <c r="AK11" s="181"/>
      <c r="AL11" s="181"/>
      <c r="AM11" s="181"/>
      <c r="AN11" s="181"/>
      <c r="AO11" s="181"/>
      <c r="AP11" s="181"/>
      <c r="AQ11" s="181"/>
      <c r="AR11" s="181"/>
      <c r="AS11" s="181"/>
      <c r="AT11" s="181"/>
      <c r="AU11" s="181"/>
      <c r="AV11" s="181"/>
      <c r="AW11" s="181"/>
      <c r="AX11" s="181"/>
      <c r="AY11" s="181"/>
    </row>
    <row r="12" spans="1:51">
      <c r="A12" s="189">
        <f t="shared" ref="A12:A54" si="0">ROW()-11</f>
        <v>1</v>
      </c>
      <c r="B12" s="190"/>
      <c r="C12" s="61" t="s">
        <v>82</v>
      </c>
      <c r="D12" s="59"/>
      <c r="E12" s="59"/>
      <c r="F12" s="59"/>
      <c r="G12" s="59"/>
      <c r="H12" s="59"/>
      <c r="I12" s="59"/>
      <c r="J12" s="59"/>
      <c r="K12" s="60"/>
      <c r="L12" s="191" t="s">
        <v>93</v>
      </c>
      <c r="M12" s="192"/>
      <c r="N12" s="192"/>
      <c r="O12" s="192"/>
      <c r="P12" s="192"/>
      <c r="Q12" s="192"/>
      <c r="R12" s="192"/>
      <c r="S12" s="193"/>
      <c r="T12" s="194" t="s">
        <v>41</v>
      </c>
      <c r="U12" s="195"/>
      <c r="V12" s="196"/>
      <c r="W12" s="197" t="s">
        <v>43</v>
      </c>
      <c r="X12" s="198"/>
      <c r="Y12" s="197">
        <v>8</v>
      </c>
      <c r="Z12" s="198"/>
      <c r="AA12" s="197"/>
      <c r="AB12" s="198"/>
      <c r="AC12" s="47"/>
      <c r="AD12" s="22"/>
      <c r="AE12" s="22"/>
      <c r="AF12" s="22"/>
      <c r="AG12" s="49"/>
      <c r="AH12" s="197"/>
      <c r="AI12" s="198"/>
      <c r="AJ12" s="199"/>
      <c r="AK12" s="200"/>
      <c r="AL12" s="197"/>
      <c r="AM12" s="201"/>
      <c r="AN12" s="198"/>
      <c r="AO12" s="192"/>
      <c r="AP12" s="192"/>
      <c r="AQ12" s="192"/>
      <c r="AR12" s="192"/>
      <c r="AS12" s="192"/>
      <c r="AT12" s="192"/>
      <c r="AU12" s="192"/>
      <c r="AV12" s="192"/>
      <c r="AW12" s="192"/>
      <c r="AX12" s="192"/>
      <c r="AY12" s="193"/>
    </row>
    <row r="13" spans="1:51">
      <c r="A13" s="189">
        <f t="shared" si="0"/>
        <v>2</v>
      </c>
      <c r="B13" s="190"/>
      <c r="C13" s="61" t="s">
        <v>83</v>
      </c>
      <c r="D13" s="59"/>
      <c r="E13" s="59"/>
      <c r="F13" s="59"/>
      <c r="G13" s="59"/>
      <c r="H13" s="59"/>
      <c r="I13" s="59"/>
      <c r="J13" s="59"/>
      <c r="K13" s="60"/>
      <c r="L13" s="191" t="s">
        <v>94</v>
      </c>
      <c r="M13" s="192"/>
      <c r="N13" s="192"/>
      <c r="O13" s="192"/>
      <c r="P13" s="192"/>
      <c r="Q13" s="192"/>
      <c r="R13" s="192"/>
      <c r="S13" s="193"/>
      <c r="T13" s="194" t="s">
        <v>40</v>
      </c>
      <c r="U13" s="195"/>
      <c r="V13" s="196"/>
      <c r="W13" s="197">
        <v>60</v>
      </c>
      <c r="X13" s="198"/>
      <c r="Y13" s="197">
        <v>60</v>
      </c>
      <c r="Z13" s="198"/>
      <c r="AA13" s="197"/>
      <c r="AB13" s="198"/>
      <c r="AC13" s="47"/>
      <c r="AD13" s="22"/>
      <c r="AE13" s="22"/>
      <c r="AF13" s="22"/>
      <c r="AG13" s="49"/>
      <c r="AH13" s="197"/>
      <c r="AI13" s="198"/>
      <c r="AJ13" s="199"/>
      <c r="AK13" s="200"/>
      <c r="AL13" s="197"/>
      <c r="AM13" s="201"/>
      <c r="AN13" s="198"/>
      <c r="AO13" s="192"/>
      <c r="AP13" s="192"/>
      <c r="AQ13" s="192"/>
      <c r="AR13" s="192"/>
      <c r="AS13" s="192"/>
      <c r="AT13" s="192"/>
      <c r="AU13" s="192"/>
      <c r="AV13" s="192"/>
      <c r="AW13" s="192"/>
      <c r="AX13" s="192"/>
      <c r="AY13" s="193"/>
    </row>
    <row r="14" spans="1:51">
      <c r="A14" s="189">
        <f t="shared" si="0"/>
        <v>3</v>
      </c>
      <c r="B14" s="190"/>
      <c r="C14" s="61" t="s">
        <v>90</v>
      </c>
      <c r="D14" s="59"/>
      <c r="E14" s="59"/>
      <c r="F14" s="59"/>
      <c r="G14" s="59"/>
      <c r="H14" s="59"/>
      <c r="I14" s="59"/>
      <c r="J14" s="59"/>
      <c r="K14" s="60"/>
      <c r="L14" s="191" t="s">
        <v>95</v>
      </c>
      <c r="M14" s="192"/>
      <c r="N14" s="192"/>
      <c r="O14" s="192"/>
      <c r="P14" s="192"/>
      <c r="Q14" s="192"/>
      <c r="R14" s="192"/>
      <c r="S14" s="193"/>
      <c r="T14" s="194" t="s">
        <v>42</v>
      </c>
      <c r="U14" s="195"/>
      <c r="V14" s="196"/>
      <c r="W14" s="197" t="s">
        <v>91</v>
      </c>
      <c r="X14" s="198"/>
      <c r="Y14" s="197">
        <v>4</v>
      </c>
      <c r="Z14" s="198"/>
      <c r="AA14" s="197"/>
      <c r="AB14" s="198"/>
      <c r="AC14" s="47"/>
      <c r="AD14" s="22"/>
      <c r="AE14" s="22"/>
      <c r="AF14" s="22"/>
      <c r="AG14" s="49"/>
      <c r="AH14" s="197"/>
      <c r="AI14" s="198"/>
      <c r="AJ14" s="199"/>
      <c r="AK14" s="200"/>
      <c r="AL14" s="197"/>
      <c r="AM14" s="201"/>
      <c r="AN14" s="198"/>
      <c r="AO14" s="192"/>
      <c r="AP14" s="192"/>
      <c r="AQ14" s="192"/>
      <c r="AR14" s="192"/>
      <c r="AS14" s="192"/>
      <c r="AT14" s="192"/>
      <c r="AU14" s="192"/>
      <c r="AV14" s="192"/>
      <c r="AW14" s="192"/>
      <c r="AX14" s="192"/>
      <c r="AY14" s="193"/>
    </row>
    <row r="15" spans="1:51">
      <c r="A15" s="189">
        <f t="shared" si="0"/>
        <v>4</v>
      </c>
      <c r="B15" s="190"/>
      <c r="C15" s="61" t="s">
        <v>84</v>
      </c>
      <c r="D15" s="59"/>
      <c r="E15" s="59"/>
      <c r="F15" s="59"/>
      <c r="G15" s="59"/>
      <c r="H15" s="59"/>
      <c r="I15" s="59"/>
      <c r="J15" s="59"/>
      <c r="K15" s="60"/>
      <c r="L15" s="191" t="s">
        <v>96</v>
      </c>
      <c r="M15" s="192"/>
      <c r="N15" s="192"/>
      <c r="O15" s="192"/>
      <c r="P15" s="192"/>
      <c r="Q15" s="192"/>
      <c r="R15" s="192"/>
      <c r="S15" s="193"/>
      <c r="T15" s="194" t="s">
        <v>41</v>
      </c>
      <c r="U15" s="195"/>
      <c r="V15" s="196"/>
      <c r="W15" s="197" t="s">
        <v>43</v>
      </c>
      <c r="X15" s="198"/>
      <c r="Y15" s="197">
        <v>8</v>
      </c>
      <c r="Z15" s="198"/>
      <c r="AA15" s="197"/>
      <c r="AB15" s="198"/>
      <c r="AC15" s="47"/>
      <c r="AD15" s="22"/>
      <c r="AE15" s="22"/>
      <c r="AF15" s="22"/>
      <c r="AG15" s="49"/>
      <c r="AH15" s="197"/>
      <c r="AI15" s="198"/>
      <c r="AJ15" s="199"/>
      <c r="AK15" s="200"/>
      <c r="AL15" s="197"/>
      <c r="AM15" s="201"/>
      <c r="AN15" s="198"/>
      <c r="AO15" s="192"/>
      <c r="AP15" s="192"/>
      <c r="AQ15" s="192"/>
      <c r="AR15" s="192"/>
      <c r="AS15" s="192"/>
      <c r="AT15" s="192"/>
      <c r="AU15" s="192"/>
      <c r="AV15" s="192"/>
      <c r="AW15" s="192"/>
      <c r="AX15" s="192"/>
      <c r="AY15" s="193"/>
    </row>
    <row r="16" spans="1:51">
      <c r="A16" s="189">
        <f t="shared" si="0"/>
        <v>5</v>
      </c>
      <c r="B16" s="190"/>
      <c r="C16" s="61" t="s">
        <v>85</v>
      </c>
      <c r="D16" s="59"/>
      <c r="E16" s="59"/>
      <c r="F16" s="59"/>
      <c r="G16" s="59"/>
      <c r="H16" s="59"/>
      <c r="I16" s="59"/>
      <c r="J16" s="59"/>
      <c r="K16" s="60"/>
      <c r="L16" s="191" t="s">
        <v>97</v>
      </c>
      <c r="M16" s="192"/>
      <c r="N16" s="192"/>
      <c r="O16" s="192"/>
      <c r="P16" s="192"/>
      <c r="Q16" s="192"/>
      <c r="R16" s="192"/>
      <c r="S16" s="193"/>
      <c r="T16" s="194" t="s">
        <v>40</v>
      </c>
      <c r="U16" s="195"/>
      <c r="V16" s="196"/>
      <c r="W16" s="197">
        <v>60</v>
      </c>
      <c r="X16" s="198"/>
      <c r="Y16" s="197">
        <v>60</v>
      </c>
      <c r="Z16" s="198"/>
      <c r="AA16" s="197"/>
      <c r="AB16" s="198"/>
      <c r="AC16" s="47"/>
      <c r="AD16" s="22"/>
      <c r="AE16" s="22"/>
      <c r="AF16" s="22"/>
      <c r="AG16" s="49"/>
      <c r="AH16" s="197"/>
      <c r="AI16" s="198"/>
      <c r="AJ16" s="199"/>
      <c r="AK16" s="200"/>
      <c r="AL16" s="197"/>
      <c r="AM16" s="201"/>
      <c r="AN16" s="198"/>
      <c r="AO16" s="192"/>
      <c r="AP16" s="192"/>
      <c r="AQ16" s="192"/>
      <c r="AR16" s="192"/>
      <c r="AS16" s="192"/>
      <c r="AT16" s="192"/>
      <c r="AU16" s="192"/>
      <c r="AV16" s="192"/>
      <c r="AW16" s="192"/>
      <c r="AX16" s="192"/>
      <c r="AY16" s="193"/>
    </row>
    <row r="17" spans="1:51">
      <c r="A17" s="189">
        <f t="shared" si="0"/>
        <v>6</v>
      </c>
      <c r="B17" s="190"/>
      <c r="C17" s="61" t="s">
        <v>92</v>
      </c>
      <c r="D17" s="59"/>
      <c r="E17" s="59"/>
      <c r="F17" s="59"/>
      <c r="G17" s="59"/>
      <c r="H17" s="59"/>
      <c r="I17" s="59"/>
      <c r="J17" s="59"/>
      <c r="K17" s="60"/>
      <c r="L17" s="191" t="s">
        <v>98</v>
      </c>
      <c r="M17" s="192"/>
      <c r="N17" s="192"/>
      <c r="O17" s="192"/>
      <c r="P17" s="192"/>
      <c r="Q17" s="192"/>
      <c r="R17" s="192"/>
      <c r="S17" s="193"/>
      <c r="T17" s="194" t="s">
        <v>42</v>
      </c>
      <c r="U17" s="195"/>
      <c r="V17" s="196"/>
      <c r="W17" s="197" t="s">
        <v>91</v>
      </c>
      <c r="X17" s="198"/>
      <c r="Y17" s="197">
        <v>4</v>
      </c>
      <c r="Z17" s="198"/>
      <c r="AA17" s="197"/>
      <c r="AB17" s="198"/>
      <c r="AC17" s="47"/>
      <c r="AD17" s="22"/>
      <c r="AE17" s="22"/>
      <c r="AF17" s="22"/>
      <c r="AG17" s="49"/>
      <c r="AH17" s="197"/>
      <c r="AI17" s="198"/>
      <c r="AJ17" s="199"/>
      <c r="AK17" s="200"/>
      <c r="AL17" s="197"/>
      <c r="AM17" s="201"/>
      <c r="AN17" s="198"/>
      <c r="AO17" s="192"/>
      <c r="AP17" s="192"/>
      <c r="AQ17" s="192"/>
      <c r="AR17" s="192"/>
      <c r="AS17" s="192"/>
      <c r="AT17" s="192"/>
      <c r="AU17" s="192"/>
      <c r="AV17" s="192"/>
      <c r="AW17" s="192"/>
      <c r="AX17" s="192"/>
      <c r="AY17" s="193"/>
    </row>
    <row r="18" spans="1:51">
      <c r="A18" s="189">
        <f t="shared" si="0"/>
        <v>7</v>
      </c>
      <c r="B18" s="190"/>
      <c r="C18" s="61" t="s">
        <v>100</v>
      </c>
      <c r="D18" s="59"/>
      <c r="E18" s="59"/>
      <c r="F18" s="59"/>
      <c r="G18" s="59"/>
      <c r="H18" s="59"/>
      <c r="I18" s="59"/>
      <c r="J18" s="59"/>
      <c r="K18" s="60"/>
      <c r="L18" s="191" t="s">
        <v>103</v>
      </c>
      <c r="M18" s="192"/>
      <c r="N18" s="192"/>
      <c r="O18" s="192"/>
      <c r="P18" s="192"/>
      <c r="Q18" s="192"/>
      <c r="R18" s="192"/>
      <c r="S18" s="193"/>
      <c r="T18" s="194" t="s">
        <v>41</v>
      </c>
      <c r="U18" s="195"/>
      <c r="V18" s="196"/>
      <c r="W18" s="197" t="s">
        <v>43</v>
      </c>
      <c r="X18" s="198"/>
      <c r="Y18" s="197">
        <v>8</v>
      </c>
      <c r="Z18" s="198"/>
      <c r="AA18" s="197"/>
      <c r="AB18" s="198"/>
      <c r="AC18" s="47"/>
      <c r="AD18" s="22"/>
      <c r="AE18" s="22"/>
      <c r="AF18" s="22"/>
      <c r="AG18" s="49"/>
      <c r="AH18" s="197"/>
      <c r="AI18" s="198"/>
      <c r="AJ18" s="199"/>
      <c r="AK18" s="200"/>
      <c r="AL18" s="197"/>
      <c r="AM18" s="201"/>
      <c r="AN18" s="198"/>
      <c r="AO18" s="192"/>
      <c r="AP18" s="192"/>
      <c r="AQ18" s="192"/>
      <c r="AR18" s="192"/>
      <c r="AS18" s="192"/>
      <c r="AT18" s="192"/>
      <c r="AU18" s="192"/>
      <c r="AV18" s="192"/>
      <c r="AW18" s="192"/>
      <c r="AX18" s="192"/>
      <c r="AY18" s="193"/>
    </row>
    <row r="19" spans="1:51">
      <c r="A19" s="189">
        <f t="shared" si="0"/>
        <v>8</v>
      </c>
      <c r="B19" s="190"/>
      <c r="C19" s="61" t="s">
        <v>101</v>
      </c>
      <c r="D19" s="59"/>
      <c r="E19" s="59"/>
      <c r="F19" s="59"/>
      <c r="G19" s="59"/>
      <c r="H19" s="59"/>
      <c r="I19" s="59"/>
      <c r="J19" s="59"/>
      <c r="K19" s="60"/>
      <c r="L19" s="191" t="s">
        <v>104</v>
      </c>
      <c r="M19" s="192"/>
      <c r="N19" s="192"/>
      <c r="O19" s="192"/>
      <c r="P19" s="192"/>
      <c r="Q19" s="192"/>
      <c r="R19" s="192"/>
      <c r="S19" s="193"/>
      <c r="T19" s="194" t="s">
        <v>40</v>
      </c>
      <c r="U19" s="195"/>
      <c r="V19" s="196"/>
      <c r="W19" s="197">
        <v>60</v>
      </c>
      <c r="X19" s="198"/>
      <c r="Y19" s="197">
        <v>60</v>
      </c>
      <c r="Z19" s="198"/>
      <c r="AA19" s="197"/>
      <c r="AB19" s="198"/>
      <c r="AC19" s="47"/>
      <c r="AD19" s="22"/>
      <c r="AE19" s="22"/>
      <c r="AF19" s="22"/>
      <c r="AG19" s="49"/>
      <c r="AH19" s="197"/>
      <c r="AI19" s="198"/>
      <c r="AJ19" s="199"/>
      <c r="AK19" s="200"/>
      <c r="AL19" s="197"/>
      <c r="AM19" s="201"/>
      <c r="AN19" s="198"/>
      <c r="AO19" s="192"/>
      <c r="AP19" s="192"/>
      <c r="AQ19" s="192"/>
      <c r="AR19" s="192"/>
      <c r="AS19" s="192"/>
      <c r="AT19" s="192"/>
      <c r="AU19" s="192"/>
      <c r="AV19" s="192"/>
      <c r="AW19" s="192"/>
      <c r="AX19" s="192"/>
      <c r="AY19" s="193"/>
    </row>
    <row r="20" spans="1:51">
      <c r="A20" s="189">
        <f t="shared" si="0"/>
        <v>9</v>
      </c>
      <c r="B20" s="190"/>
      <c r="C20" s="61" t="s">
        <v>102</v>
      </c>
      <c r="D20" s="59"/>
      <c r="E20" s="59"/>
      <c r="F20" s="59"/>
      <c r="G20" s="59"/>
      <c r="H20" s="59"/>
      <c r="I20" s="59"/>
      <c r="J20" s="59"/>
      <c r="K20" s="60"/>
      <c r="L20" s="191" t="s">
        <v>105</v>
      </c>
      <c r="M20" s="192"/>
      <c r="N20" s="192"/>
      <c r="O20" s="192"/>
      <c r="P20" s="192"/>
      <c r="Q20" s="192"/>
      <c r="R20" s="192"/>
      <c r="S20" s="193"/>
      <c r="T20" s="194" t="s">
        <v>42</v>
      </c>
      <c r="U20" s="195"/>
      <c r="V20" s="196"/>
      <c r="W20" s="197" t="s">
        <v>91</v>
      </c>
      <c r="X20" s="198"/>
      <c r="Y20" s="197">
        <v>4</v>
      </c>
      <c r="Z20" s="198"/>
      <c r="AA20" s="197"/>
      <c r="AB20" s="198"/>
      <c r="AC20" s="47"/>
      <c r="AD20" s="22"/>
      <c r="AE20" s="22"/>
      <c r="AF20" s="22"/>
      <c r="AG20" s="49"/>
      <c r="AH20" s="197"/>
      <c r="AI20" s="198"/>
      <c r="AJ20" s="199"/>
      <c r="AK20" s="200"/>
      <c r="AL20" s="197"/>
      <c r="AM20" s="201"/>
      <c r="AN20" s="198"/>
      <c r="AO20" s="192"/>
      <c r="AP20" s="192"/>
      <c r="AQ20" s="192"/>
      <c r="AR20" s="192"/>
      <c r="AS20" s="192"/>
      <c r="AT20" s="192"/>
      <c r="AU20" s="192"/>
      <c r="AV20" s="192"/>
      <c r="AW20" s="192"/>
      <c r="AX20" s="192"/>
      <c r="AY20" s="193"/>
    </row>
    <row r="21" spans="1:51">
      <c r="A21" s="189">
        <f>ROW()-11</f>
        <v>10</v>
      </c>
      <c r="B21" s="190"/>
      <c r="C21" s="61" t="s">
        <v>86</v>
      </c>
      <c r="D21" s="59"/>
      <c r="E21" s="59"/>
      <c r="F21" s="59"/>
      <c r="G21" s="59"/>
      <c r="H21" s="59"/>
      <c r="I21" s="59"/>
      <c r="J21" s="59"/>
      <c r="K21" s="60"/>
      <c r="L21" s="191" t="s">
        <v>99</v>
      </c>
      <c r="M21" s="192"/>
      <c r="N21" s="192"/>
      <c r="O21" s="192"/>
      <c r="P21" s="192"/>
      <c r="Q21" s="192"/>
      <c r="R21" s="192"/>
      <c r="S21" s="193"/>
      <c r="T21" s="194" t="s">
        <v>42</v>
      </c>
      <c r="U21" s="195"/>
      <c r="V21" s="196"/>
      <c r="W21" s="197">
        <v>1</v>
      </c>
      <c r="X21" s="198"/>
      <c r="Y21" s="197">
        <v>1</v>
      </c>
      <c r="Z21" s="198"/>
      <c r="AA21" s="197"/>
      <c r="AB21" s="198"/>
      <c r="AC21" s="47"/>
      <c r="AD21" s="22"/>
      <c r="AE21" s="22"/>
      <c r="AF21" s="22"/>
      <c r="AG21" s="49"/>
      <c r="AH21" s="197"/>
      <c r="AI21" s="198"/>
      <c r="AJ21" s="199"/>
      <c r="AK21" s="200"/>
      <c r="AL21" s="197">
        <v>0</v>
      </c>
      <c r="AM21" s="201"/>
      <c r="AN21" s="198"/>
      <c r="AO21" s="192" t="s">
        <v>44</v>
      </c>
      <c r="AP21" s="192"/>
      <c r="AQ21" s="192"/>
      <c r="AR21" s="192"/>
      <c r="AS21" s="192"/>
      <c r="AT21" s="192"/>
      <c r="AU21" s="192"/>
      <c r="AV21" s="192"/>
      <c r="AW21" s="192"/>
      <c r="AX21" s="192"/>
      <c r="AY21" s="193"/>
    </row>
    <row r="22" spans="1:51">
      <c r="A22" s="202">
        <f t="shared" si="0"/>
        <v>11</v>
      </c>
      <c r="B22" s="204"/>
      <c r="C22" s="48" t="s">
        <v>158</v>
      </c>
      <c r="D22" s="42"/>
      <c r="E22" s="42"/>
      <c r="F22" s="42"/>
      <c r="G22" s="42"/>
      <c r="H22" s="42"/>
      <c r="I22" s="42"/>
      <c r="J22" s="42"/>
      <c r="K22" s="44"/>
      <c r="L22" s="48" t="s">
        <v>158</v>
      </c>
      <c r="M22" s="42"/>
      <c r="N22" s="42"/>
      <c r="O22" s="42"/>
      <c r="P22" s="42"/>
      <c r="Q22" s="42"/>
      <c r="R22" s="42"/>
      <c r="S22" s="44"/>
      <c r="T22" s="207" t="s">
        <v>42</v>
      </c>
      <c r="U22" s="208"/>
      <c r="V22" s="209"/>
      <c r="W22" s="220" t="s">
        <v>130</v>
      </c>
      <c r="X22" s="221"/>
      <c r="Y22" s="220">
        <v>1</v>
      </c>
      <c r="Z22" s="221"/>
      <c r="AA22" s="215">
        <v>1</v>
      </c>
      <c r="AB22" s="216"/>
      <c r="AC22" s="46"/>
      <c r="AD22" s="24"/>
      <c r="AE22" s="24"/>
      <c r="AF22" s="24"/>
      <c r="AG22" s="51"/>
      <c r="AH22" s="215"/>
      <c r="AI22" s="216"/>
      <c r="AJ22" s="212" t="s">
        <v>128</v>
      </c>
      <c r="AK22" s="213"/>
      <c r="AL22" s="215"/>
      <c r="AM22" s="217"/>
      <c r="AN22" s="216"/>
      <c r="AO22" s="205"/>
      <c r="AP22" s="205"/>
      <c r="AQ22" s="205"/>
      <c r="AR22" s="205"/>
      <c r="AS22" s="205"/>
      <c r="AT22" s="205"/>
      <c r="AU22" s="205"/>
      <c r="AV22" s="205"/>
      <c r="AW22" s="205"/>
      <c r="AX22" s="205"/>
      <c r="AY22" s="206"/>
    </row>
    <row r="23" spans="1:51">
      <c r="A23" s="202">
        <f t="shared" si="0"/>
        <v>12</v>
      </c>
      <c r="B23" s="204"/>
      <c r="C23" s="48" t="s">
        <v>164</v>
      </c>
      <c r="D23" s="42"/>
      <c r="E23" s="42"/>
      <c r="F23" s="42"/>
      <c r="G23" s="42"/>
      <c r="H23" s="42"/>
      <c r="I23" s="42"/>
      <c r="J23" s="42"/>
      <c r="K23" s="44"/>
      <c r="L23" s="48" t="s">
        <v>164</v>
      </c>
      <c r="M23" s="42"/>
      <c r="N23" s="42"/>
      <c r="O23" s="42"/>
      <c r="P23" s="42"/>
      <c r="Q23" s="42"/>
      <c r="R23" s="42"/>
      <c r="S23" s="44"/>
      <c r="T23" s="207" t="s">
        <v>40</v>
      </c>
      <c r="U23" s="208"/>
      <c r="V23" s="209"/>
      <c r="W23" s="202">
        <v>60</v>
      </c>
      <c r="X23" s="204"/>
      <c r="Y23" s="202">
        <v>60</v>
      </c>
      <c r="Z23" s="204"/>
      <c r="AA23" s="202"/>
      <c r="AB23" s="204"/>
      <c r="AC23" s="46"/>
      <c r="AD23" s="24"/>
      <c r="AE23" s="24"/>
      <c r="AF23" s="24"/>
      <c r="AG23" s="51"/>
      <c r="AH23" s="202"/>
      <c r="AI23" s="204"/>
      <c r="AJ23" s="212"/>
      <c r="AK23" s="213"/>
      <c r="AL23" s="202"/>
      <c r="AM23" s="203"/>
      <c r="AN23" s="204"/>
      <c r="AO23" s="205"/>
      <c r="AP23" s="205"/>
      <c r="AQ23" s="205"/>
      <c r="AR23" s="205"/>
      <c r="AS23" s="205"/>
      <c r="AT23" s="205"/>
      <c r="AU23" s="205"/>
      <c r="AV23" s="205"/>
      <c r="AW23" s="205"/>
      <c r="AX23" s="205"/>
      <c r="AY23" s="206"/>
    </row>
    <row r="24" spans="1:51">
      <c r="A24" s="202">
        <f t="shared" si="0"/>
        <v>13</v>
      </c>
      <c r="B24" s="204"/>
      <c r="C24" s="48" t="s">
        <v>166</v>
      </c>
      <c r="D24" s="42"/>
      <c r="E24" s="42"/>
      <c r="F24" s="42"/>
      <c r="G24" s="42"/>
      <c r="H24" s="42"/>
      <c r="I24" s="42"/>
      <c r="J24" s="42"/>
      <c r="K24" s="44"/>
      <c r="L24" s="48" t="s">
        <v>166</v>
      </c>
      <c r="M24" s="42"/>
      <c r="N24" s="42"/>
      <c r="O24" s="42"/>
      <c r="P24" s="42"/>
      <c r="Q24" s="42"/>
      <c r="R24" s="42"/>
      <c r="S24" s="44"/>
      <c r="T24" s="207" t="s">
        <v>40</v>
      </c>
      <c r="U24" s="208"/>
      <c r="V24" s="209"/>
      <c r="W24" s="202">
        <v>60</v>
      </c>
      <c r="X24" s="204"/>
      <c r="Y24" s="202">
        <v>60</v>
      </c>
      <c r="Z24" s="204"/>
      <c r="AA24" s="202"/>
      <c r="AB24" s="204"/>
      <c r="AC24" s="46"/>
      <c r="AD24" s="24"/>
      <c r="AE24" s="24"/>
      <c r="AF24" s="24"/>
      <c r="AG24" s="51"/>
      <c r="AH24" s="202"/>
      <c r="AI24" s="204"/>
      <c r="AJ24" s="100"/>
      <c r="AK24" s="102"/>
      <c r="AL24" s="202"/>
      <c r="AM24" s="203"/>
      <c r="AN24" s="204"/>
      <c r="AO24" s="205"/>
      <c r="AP24" s="205"/>
      <c r="AQ24" s="205"/>
      <c r="AR24" s="205"/>
      <c r="AS24" s="205"/>
      <c r="AT24" s="205"/>
      <c r="AU24" s="205"/>
      <c r="AV24" s="205"/>
      <c r="AW24" s="205"/>
      <c r="AX24" s="205"/>
      <c r="AY24" s="206"/>
    </row>
    <row r="25" spans="1:51">
      <c r="A25" s="202">
        <f t="shared" si="0"/>
        <v>14</v>
      </c>
      <c r="B25" s="204"/>
      <c r="C25" s="48" t="s">
        <v>167</v>
      </c>
      <c r="D25" s="42"/>
      <c r="E25" s="42"/>
      <c r="F25" s="42"/>
      <c r="G25" s="42"/>
      <c r="H25" s="42"/>
      <c r="I25" s="42"/>
      <c r="J25" s="42"/>
      <c r="K25" s="44"/>
      <c r="L25" s="48" t="s">
        <v>167</v>
      </c>
      <c r="M25" s="42"/>
      <c r="N25" s="42"/>
      <c r="O25" s="42"/>
      <c r="P25" s="42"/>
      <c r="Q25" s="42"/>
      <c r="R25" s="42"/>
      <c r="S25" s="44"/>
      <c r="T25" s="207" t="s">
        <v>42</v>
      </c>
      <c r="U25" s="208"/>
      <c r="V25" s="209"/>
      <c r="W25" s="202" t="s">
        <v>137</v>
      </c>
      <c r="X25" s="204"/>
      <c r="Y25" s="202">
        <v>7</v>
      </c>
      <c r="Z25" s="204"/>
      <c r="AA25" s="202"/>
      <c r="AB25" s="204"/>
      <c r="AC25" s="45"/>
      <c r="AD25" s="23"/>
      <c r="AE25" s="23"/>
      <c r="AF25" s="23"/>
      <c r="AG25" s="50"/>
      <c r="AH25" s="202"/>
      <c r="AI25" s="204"/>
      <c r="AJ25" s="100"/>
      <c r="AK25" s="102"/>
      <c r="AL25" s="202"/>
      <c r="AM25" s="203"/>
      <c r="AN25" s="204"/>
      <c r="AO25" s="205"/>
      <c r="AP25" s="205"/>
      <c r="AQ25" s="205"/>
      <c r="AR25" s="205"/>
      <c r="AS25" s="205"/>
      <c r="AT25" s="205"/>
      <c r="AU25" s="205"/>
      <c r="AV25" s="205"/>
      <c r="AW25" s="205"/>
      <c r="AX25" s="205"/>
      <c r="AY25" s="206"/>
    </row>
    <row r="26" spans="1:51">
      <c r="A26" s="202">
        <f t="shared" si="0"/>
        <v>15</v>
      </c>
      <c r="B26" s="204"/>
      <c r="C26" s="48"/>
      <c r="D26" s="42"/>
      <c r="E26" s="42"/>
      <c r="F26" s="42"/>
      <c r="G26" s="42"/>
      <c r="H26" s="42"/>
      <c r="I26" s="42"/>
      <c r="J26" s="42"/>
      <c r="K26" s="44"/>
      <c r="L26" s="48"/>
      <c r="M26" s="42"/>
      <c r="N26" s="42"/>
      <c r="O26" s="42"/>
      <c r="P26" s="42"/>
      <c r="Q26" s="42"/>
      <c r="R26" s="42"/>
      <c r="S26" s="44"/>
      <c r="T26" s="207"/>
      <c r="U26" s="208"/>
      <c r="V26" s="209"/>
      <c r="W26" s="202"/>
      <c r="X26" s="204"/>
      <c r="Y26" s="202"/>
      <c r="Z26" s="204"/>
      <c r="AA26" s="215"/>
      <c r="AB26" s="216"/>
      <c r="AC26" s="46"/>
      <c r="AD26" s="24"/>
      <c r="AE26" s="24"/>
      <c r="AF26" s="24"/>
      <c r="AG26" s="51"/>
      <c r="AH26" s="215"/>
      <c r="AI26" s="216"/>
      <c r="AJ26" s="100"/>
      <c r="AK26" s="102"/>
      <c r="AL26" s="215"/>
      <c r="AM26" s="217"/>
      <c r="AN26" s="216"/>
      <c r="AO26" s="205"/>
      <c r="AP26" s="205"/>
      <c r="AQ26" s="205"/>
      <c r="AR26" s="205"/>
      <c r="AS26" s="205"/>
      <c r="AT26" s="205"/>
      <c r="AU26" s="205"/>
      <c r="AV26" s="205"/>
      <c r="AW26" s="205"/>
      <c r="AX26" s="205"/>
      <c r="AY26" s="206"/>
    </row>
    <row r="27" spans="1:51">
      <c r="A27" s="218">
        <f t="shared" si="0"/>
        <v>16</v>
      </c>
      <c r="B27" s="219"/>
      <c r="C27" s="48"/>
      <c r="D27" s="42"/>
      <c r="E27" s="42"/>
      <c r="F27" s="42"/>
      <c r="G27" s="42"/>
      <c r="H27" s="42"/>
      <c r="I27" s="42"/>
      <c r="J27" s="42"/>
      <c r="K27" s="44"/>
      <c r="L27" s="48"/>
      <c r="M27" s="42"/>
      <c r="N27" s="42"/>
      <c r="O27" s="42"/>
      <c r="P27" s="42"/>
      <c r="Q27" s="42"/>
      <c r="R27" s="42"/>
      <c r="S27" s="44"/>
      <c r="T27" s="207"/>
      <c r="U27" s="208"/>
      <c r="V27" s="209"/>
      <c r="W27" s="202"/>
      <c r="X27" s="204"/>
      <c r="Y27" s="202"/>
      <c r="Z27" s="204"/>
      <c r="AA27" s="220"/>
      <c r="AB27" s="221"/>
      <c r="AC27" s="45"/>
      <c r="AD27" s="23"/>
      <c r="AE27" s="23"/>
      <c r="AF27" s="23"/>
      <c r="AG27" s="50"/>
      <c r="AH27" s="220"/>
      <c r="AI27" s="221"/>
      <c r="AJ27" s="223"/>
      <c r="AK27" s="224"/>
      <c r="AL27" s="220"/>
      <c r="AM27" s="222"/>
      <c r="AN27" s="221"/>
      <c r="AO27" s="205"/>
      <c r="AP27" s="205"/>
      <c r="AQ27" s="205"/>
      <c r="AR27" s="205"/>
      <c r="AS27" s="205"/>
      <c r="AT27" s="205"/>
      <c r="AU27" s="205"/>
      <c r="AV27" s="205"/>
      <c r="AW27" s="205"/>
      <c r="AX27" s="205"/>
      <c r="AY27" s="206"/>
    </row>
    <row r="28" spans="1:51">
      <c r="A28" s="218">
        <f t="shared" si="0"/>
        <v>17</v>
      </c>
      <c r="B28" s="219"/>
      <c r="C28" s="48"/>
      <c r="D28" s="42"/>
      <c r="E28" s="42"/>
      <c r="F28" s="42"/>
      <c r="G28" s="42"/>
      <c r="H28" s="42"/>
      <c r="I28" s="42"/>
      <c r="J28" s="42"/>
      <c r="K28" s="44"/>
      <c r="L28" s="48"/>
      <c r="M28" s="42"/>
      <c r="N28" s="42"/>
      <c r="O28" s="42"/>
      <c r="P28" s="42"/>
      <c r="Q28" s="42"/>
      <c r="R28" s="42"/>
      <c r="S28" s="44"/>
      <c r="T28" s="207"/>
      <c r="U28" s="208"/>
      <c r="V28" s="209"/>
      <c r="W28" s="202"/>
      <c r="X28" s="204"/>
      <c r="Y28" s="202"/>
      <c r="Z28" s="204"/>
      <c r="AA28" s="202"/>
      <c r="AB28" s="204"/>
      <c r="AC28" s="45"/>
      <c r="AD28" s="23"/>
      <c r="AE28" s="23"/>
      <c r="AF28" s="23"/>
      <c r="AG28" s="50"/>
      <c r="AH28" s="202"/>
      <c r="AI28" s="204"/>
      <c r="AJ28" s="100"/>
      <c r="AK28" s="102"/>
      <c r="AL28" s="202"/>
      <c r="AM28" s="203"/>
      <c r="AN28" s="204"/>
      <c r="AO28" s="205"/>
      <c r="AP28" s="205"/>
      <c r="AQ28" s="205"/>
      <c r="AR28" s="205"/>
      <c r="AS28" s="205"/>
      <c r="AT28" s="205"/>
      <c r="AU28" s="205"/>
      <c r="AV28" s="205"/>
      <c r="AW28" s="205"/>
      <c r="AX28" s="205"/>
      <c r="AY28" s="206"/>
    </row>
    <row r="29" spans="1:51">
      <c r="A29" s="218">
        <f t="shared" si="0"/>
        <v>18</v>
      </c>
      <c r="B29" s="219"/>
      <c r="C29" s="48"/>
      <c r="D29" s="42"/>
      <c r="E29" s="42"/>
      <c r="F29" s="42"/>
      <c r="G29" s="42"/>
      <c r="H29" s="42"/>
      <c r="I29" s="42"/>
      <c r="J29" s="42"/>
      <c r="K29" s="44"/>
      <c r="L29" s="48"/>
      <c r="M29" s="42"/>
      <c r="N29" s="42"/>
      <c r="O29" s="42"/>
      <c r="P29" s="42"/>
      <c r="Q29" s="42"/>
      <c r="R29" s="42"/>
      <c r="S29" s="44"/>
      <c r="T29" s="207"/>
      <c r="U29" s="208"/>
      <c r="V29" s="209"/>
      <c r="W29" s="202"/>
      <c r="X29" s="204"/>
      <c r="Y29" s="202"/>
      <c r="Z29" s="204"/>
      <c r="AA29" s="202"/>
      <c r="AB29" s="204"/>
      <c r="AC29" s="45"/>
      <c r="AD29" s="23"/>
      <c r="AE29" s="23"/>
      <c r="AF29" s="23"/>
      <c r="AG29" s="50"/>
      <c r="AH29" s="202"/>
      <c r="AI29" s="204"/>
      <c r="AJ29" s="100"/>
      <c r="AK29" s="102"/>
      <c r="AL29" s="202"/>
      <c r="AM29" s="203"/>
      <c r="AN29" s="204"/>
      <c r="AO29" s="205"/>
      <c r="AP29" s="205"/>
      <c r="AQ29" s="205"/>
      <c r="AR29" s="205"/>
      <c r="AS29" s="205"/>
      <c r="AT29" s="205"/>
      <c r="AU29" s="205"/>
      <c r="AV29" s="205"/>
      <c r="AW29" s="205"/>
      <c r="AX29" s="205"/>
      <c r="AY29" s="206"/>
    </row>
    <row r="30" spans="1:51">
      <c r="A30" s="218">
        <f t="shared" si="0"/>
        <v>19</v>
      </c>
      <c r="B30" s="219"/>
      <c r="C30" s="48"/>
      <c r="D30" s="42"/>
      <c r="E30" s="42"/>
      <c r="F30" s="42"/>
      <c r="G30" s="42"/>
      <c r="H30" s="42"/>
      <c r="I30" s="42"/>
      <c r="J30" s="42"/>
      <c r="K30" s="44"/>
      <c r="L30" s="48"/>
      <c r="M30" s="42"/>
      <c r="N30" s="42"/>
      <c r="O30" s="42"/>
      <c r="P30" s="42"/>
      <c r="Q30" s="42"/>
      <c r="R30" s="42"/>
      <c r="S30" s="44"/>
      <c r="T30" s="207"/>
      <c r="U30" s="208"/>
      <c r="V30" s="209"/>
      <c r="W30" s="202"/>
      <c r="X30" s="204"/>
      <c r="Y30" s="202"/>
      <c r="Z30" s="204"/>
      <c r="AA30" s="220"/>
      <c r="AB30" s="221"/>
      <c r="AC30" s="45"/>
      <c r="AD30" s="23"/>
      <c r="AE30" s="23"/>
      <c r="AF30" s="23"/>
      <c r="AG30" s="50"/>
      <c r="AH30" s="220"/>
      <c r="AI30" s="221"/>
      <c r="AJ30" s="223"/>
      <c r="AK30" s="224"/>
      <c r="AL30" s="220"/>
      <c r="AM30" s="222"/>
      <c r="AN30" s="221"/>
      <c r="AO30" s="205"/>
      <c r="AP30" s="205"/>
      <c r="AQ30" s="205"/>
      <c r="AR30" s="205"/>
      <c r="AS30" s="205"/>
      <c r="AT30" s="205"/>
      <c r="AU30" s="205"/>
      <c r="AV30" s="205"/>
      <c r="AW30" s="205"/>
      <c r="AX30" s="205"/>
      <c r="AY30" s="206"/>
    </row>
    <row r="31" spans="1:51">
      <c r="A31" s="218">
        <f t="shared" si="0"/>
        <v>20</v>
      </c>
      <c r="B31" s="219"/>
      <c r="C31" s="48"/>
      <c r="D31" s="42"/>
      <c r="E31" s="42"/>
      <c r="F31" s="42"/>
      <c r="G31" s="42"/>
      <c r="H31" s="42"/>
      <c r="I31" s="42"/>
      <c r="J31" s="42"/>
      <c r="K31" s="44"/>
      <c r="L31" s="48"/>
      <c r="M31" s="42"/>
      <c r="N31" s="42"/>
      <c r="O31" s="42"/>
      <c r="P31" s="42"/>
      <c r="Q31" s="42"/>
      <c r="R31" s="42"/>
      <c r="S31" s="44"/>
      <c r="T31" s="207"/>
      <c r="U31" s="208"/>
      <c r="V31" s="209"/>
      <c r="W31" s="202"/>
      <c r="X31" s="204"/>
      <c r="Y31" s="220"/>
      <c r="Z31" s="221"/>
      <c r="AA31" s="220"/>
      <c r="AB31" s="221"/>
      <c r="AC31" s="45"/>
      <c r="AD31" s="23"/>
      <c r="AE31" s="23"/>
      <c r="AF31" s="23"/>
      <c r="AG31" s="50"/>
      <c r="AH31" s="220"/>
      <c r="AI31" s="221"/>
      <c r="AJ31" s="223"/>
      <c r="AK31" s="224"/>
      <c r="AL31" s="220"/>
      <c r="AM31" s="222"/>
      <c r="AN31" s="221"/>
      <c r="AO31" s="205"/>
      <c r="AP31" s="205"/>
      <c r="AQ31" s="205"/>
      <c r="AR31" s="205"/>
      <c r="AS31" s="205"/>
      <c r="AT31" s="205"/>
      <c r="AU31" s="205"/>
      <c r="AV31" s="205"/>
      <c r="AW31" s="205"/>
      <c r="AX31" s="205"/>
      <c r="AY31" s="206"/>
    </row>
    <row r="32" spans="1:51">
      <c r="A32" s="218">
        <f t="shared" si="0"/>
        <v>21</v>
      </c>
      <c r="B32" s="219"/>
      <c r="C32" s="48"/>
      <c r="D32" s="42"/>
      <c r="E32" s="42"/>
      <c r="F32" s="42"/>
      <c r="G32" s="42"/>
      <c r="H32" s="42"/>
      <c r="I32" s="42"/>
      <c r="J32" s="42"/>
      <c r="K32" s="44"/>
      <c r="L32" s="48"/>
      <c r="M32" s="42"/>
      <c r="N32" s="42"/>
      <c r="O32" s="42"/>
      <c r="P32" s="42"/>
      <c r="Q32" s="42"/>
      <c r="R32" s="42"/>
      <c r="S32" s="44"/>
      <c r="T32" s="207"/>
      <c r="U32" s="208"/>
      <c r="V32" s="209"/>
      <c r="W32" s="202"/>
      <c r="X32" s="204"/>
      <c r="Y32" s="220"/>
      <c r="Z32" s="221"/>
      <c r="AA32" s="220"/>
      <c r="AB32" s="221"/>
      <c r="AC32" s="45"/>
      <c r="AD32" s="23"/>
      <c r="AE32" s="23"/>
      <c r="AF32" s="23"/>
      <c r="AG32" s="50"/>
      <c r="AH32" s="220"/>
      <c r="AI32" s="221"/>
      <c r="AJ32" s="223"/>
      <c r="AK32" s="224"/>
      <c r="AL32" s="220"/>
      <c r="AM32" s="222"/>
      <c r="AN32" s="221"/>
      <c r="AO32" s="205"/>
      <c r="AP32" s="205"/>
      <c r="AQ32" s="205"/>
      <c r="AR32" s="205"/>
      <c r="AS32" s="205"/>
      <c r="AT32" s="205"/>
      <c r="AU32" s="205"/>
      <c r="AV32" s="205"/>
      <c r="AW32" s="205"/>
      <c r="AX32" s="205"/>
      <c r="AY32" s="206"/>
    </row>
    <row r="33" spans="1:51">
      <c r="A33" s="218">
        <f t="shared" si="0"/>
        <v>22</v>
      </c>
      <c r="B33" s="219"/>
      <c r="C33" s="48"/>
      <c r="D33" s="42"/>
      <c r="E33" s="42"/>
      <c r="F33" s="42"/>
      <c r="G33" s="42"/>
      <c r="H33" s="42"/>
      <c r="I33" s="42"/>
      <c r="J33" s="42"/>
      <c r="K33" s="44"/>
      <c r="L33" s="48"/>
      <c r="M33" s="42"/>
      <c r="N33" s="42"/>
      <c r="O33" s="42"/>
      <c r="P33" s="42"/>
      <c r="Q33" s="42"/>
      <c r="R33" s="42"/>
      <c r="S33" s="44"/>
      <c r="T33" s="207"/>
      <c r="U33" s="208"/>
      <c r="V33" s="209"/>
      <c r="W33" s="202"/>
      <c r="X33" s="204"/>
      <c r="Y33" s="220"/>
      <c r="Z33" s="221"/>
      <c r="AA33" s="220"/>
      <c r="AB33" s="221"/>
      <c r="AC33" s="45"/>
      <c r="AD33" s="23"/>
      <c r="AE33" s="23"/>
      <c r="AF33" s="23"/>
      <c r="AG33" s="50"/>
      <c r="AH33" s="220"/>
      <c r="AI33" s="221"/>
      <c r="AJ33" s="223"/>
      <c r="AK33" s="224"/>
      <c r="AL33" s="220"/>
      <c r="AM33" s="222"/>
      <c r="AN33" s="221"/>
      <c r="AO33" s="205"/>
      <c r="AP33" s="205"/>
      <c r="AQ33" s="205"/>
      <c r="AR33" s="205"/>
      <c r="AS33" s="205"/>
      <c r="AT33" s="205"/>
      <c r="AU33" s="205"/>
      <c r="AV33" s="205"/>
      <c r="AW33" s="205"/>
      <c r="AX33" s="205"/>
      <c r="AY33" s="206"/>
    </row>
    <row r="34" spans="1:51">
      <c r="A34" s="218">
        <f t="shared" si="0"/>
        <v>23</v>
      </c>
      <c r="B34" s="219"/>
      <c r="C34" s="48"/>
      <c r="D34" s="42"/>
      <c r="E34" s="42"/>
      <c r="F34" s="42"/>
      <c r="G34" s="42"/>
      <c r="H34" s="42"/>
      <c r="I34" s="42"/>
      <c r="J34" s="42"/>
      <c r="K34" s="44"/>
      <c r="L34" s="48"/>
      <c r="M34" s="42"/>
      <c r="N34" s="42"/>
      <c r="O34" s="42"/>
      <c r="P34" s="42"/>
      <c r="Q34" s="42"/>
      <c r="R34" s="42"/>
      <c r="S34" s="44"/>
      <c r="T34" s="207"/>
      <c r="U34" s="208"/>
      <c r="V34" s="209"/>
      <c r="W34" s="202"/>
      <c r="X34" s="204"/>
      <c r="Y34" s="202"/>
      <c r="Z34" s="204"/>
      <c r="AA34" s="220"/>
      <c r="AB34" s="221"/>
      <c r="AC34" s="45"/>
      <c r="AD34" s="23"/>
      <c r="AE34" s="23"/>
      <c r="AF34" s="23"/>
      <c r="AG34" s="50"/>
      <c r="AH34" s="220"/>
      <c r="AI34" s="221"/>
      <c r="AJ34" s="223"/>
      <c r="AK34" s="224"/>
      <c r="AL34" s="220"/>
      <c r="AM34" s="222"/>
      <c r="AN34" s="221"/>
      <c r="AO34" s="205"/>
      <c r="AP34" s="205"/>
      <c r="AQ34" s="205"/>
      <c r="AR34" s="205"/>
      <c r="AS34" s="205"/>
      <c r="AT34" s="205"/>
      <c r="AU34" s="205"/>
      <c r="AV34" s="205"/>
      <c r="AW34" s="205"/>
      <c r="AX34" s="205"/>
      <c r="AY34" s="206"/>
    </row>
    <row r="35" spans="1:51">
      <c r="A35" s="218">
        <f t="shared" si="0"/>
        <v>24</v>
      </c>
      <c r="B35" s="219"/>
      <c r="C35" s="48"/>
      <c r="D35" s="42"/>
      <c r="E35" s="42"/>
      <c r="F35" s="42"/>
      <c r="G35" s="42"/>
      <c r="H35" s="42"/>
      <c r="I35" s="42"/>
      <c r="J35" s="42"/>
      <c r="K35" s="44"/>
      <c r="L35" s="48"/>
      <c r="M35" s="42"/>
      <c r="N35" s="42"/>
      <c r="O35" s="42"/>
      <c r="P35" s="42"/>
      <c r="Q35" s="42"/>
      <c r="R35" s="42"/>
      <c r="S35" s="44"/>
      <c r="T35" s="207"/>
      <c r="U35" s="208"/>
      <c r="V35" s="209"/>
      <c r="W35" s="202"/>
      <c r="X35" s="204"/>
      <c r="Y35" s="202"/>
      <c r="Z35" s="204"/>
      <c r="AA35" s="220"/>
      <c r="AB35" s="221"/>
      <c r="AC35" s="45"/>
      <c r="AD35" s="23"/>
      <c r="AE35" s="23"/>
      <c r="AF35" s="23"/>
      <c r="AG35" s="50"/>
      <c r="AH35" s="220"/>
      <c r="AI35" s="221"/>
      <c r="AJ35" s="223"/>
      <c r="AK35" s="224"/>
      <c r="AL35" s="220"/>
      <c r="AM35" s="222"/>
      <c r="AN35" s="221"/>
      <c r="AO35" s="205"/>
      <c r="AP35" s="205"/>
      <c r="AQ35" s="205"/>
      <c r="AR35" s="205"/>
      <c r="AS35" s="205"/>
      <c r="AT35" s="205"/>
      <c r="AU35" s="205"/>
      <c r="AV35" s="205"/>
      <c r="AW35" s="205"/>
      <c r="AX35" s="205"/>
      <c r="AY35" s="206"/>
    </row>
    <row r="36" spans="1:51">
      <c r="A36" s="218">
        <f t="shared" si="0"/>
        <v>25</v>
      </c>
      <c r="B36" s="219"/>
      <c r="C36" s="48"/>
      <c r="D36" s="42"/>
      <c r="E36" s="42"/>
      <c r="F36" s="42"/>
      <c r="G36" s="42"/>
      <c r="H36" s="42"/>
      <c r="I36" s="42"/>
      <c r="J36" s="42"/>
      <c r="K36" s="44"/>
      <c r="L36" s="48"/>
      <c r="M36" s="42"/>
      <c r="N36" s="42"/>
      <c r="O36" s="42"/>
      <c r="P36" s="42"/>
      <c r="Q36" s="42"/>
      <c r="R36" s="42"/>
      <c r="S36" s="44"/>
      <c r="T36" s="207"/>
      <c r="U36" s="208"/>
      <c r="V36" s="209"/>
      <c r="W36" s="202"/>
      <c r="X36" s="204"/>
      <c r="Y36" s="220"/>
      <c r="Z36" s="221"/>
      <c r="AA36" s="215"/>
      <c r="AB36" s="216"/>
      <c r="AC36" s="46"/>
      <c r="AD36" s="24"/>
      <c r="AE36" s="24"/>
      <c r="AF36" s="24"/>
      <c r="AG36" s="51"/>
      <c r="AH36" s="215"/>
      <c r="AI36" s="216"/>
      <c r="AJ36" s="212"/>
      <c r="AK36" s="213"/>
      <c r="AL36" s="215"/>
      <c r="AM36" s="217"/>
      <c r="AN36" s="216"/>
      <c r="AO36" s="205"/>
      <c r="AP36" s="205"/>
      <c r="AQ36" s="205"/>
      <c r="AR36" s="205"/>
      <c r="AS36" s="205"/>
      <c r="AT36" s="205"/>
      <c r="AU36" s="205"/>
      <c r="AV36" s="205"/>
      <c r="AW36" s="205"/>
      <c r="AX36" s="205"/>
      <c r="AY36" s="206"/>
    </row>
    <row r="37" spans="1:51">
      <c r="A37" s="202">
        <f t="shared" si="0"/>
        <v>26</v>
      </c>
      <c r="B37" s="204"/>
      <c r="C37" s="48"/>
      <c r="D37" s="42"/>
      <c r="E37" s="42"/>
      <c r="F37" s="42"/>
      <c r="G37" s="42"/>
      <c r="H37" s="42"/>
      <c r="I37" s="42"/>
      <c r="J37" s="42"/>
      <c r="K37" s="44"/>
      <c r="L37" s="48"/>
      <c r="M37" s="42"/>
      <c r="N37" s="42"/>
      <c r="O37" s="42"/>
      <c r="P37" s="42"/>
      <c r="Q37" s="42"/>
      <c r="R37" s="42"/>
      <c r="S37" s="44"/>
      <c r="T37" s="207"/>
      <c r="U37" s="208"/>
      <c r="V37" s="209"/>
      <c r="W37" s="202"/>
      <c r="X37" s="204"/>
      <c r="Y37" s="220"/>
      <c r="Z37" s="221"/>
      <c r="AA37" s="215"/>
      <c r="AB37" s="216"/>
      <c r="AC37" s="46"/>
      <c r="AD37" s="24"/>
      <c r="AE37" s="24"/>
      <c r="AF37" s="24"/>
      <c r="AG37" s="51"/>
      <c r="AH37" s="215"/>
      <c r="AI37" s="216"/>
      <c r="AJ37" s="212"/>
      <c r="AK37" s="213"/>
      <c r="AL37" s="215"/>
      <c r="AM37" s="217"/>
      <c r="AN37" s="216"/>
      <c r="AO37" s="205"/>
      <c r="AP37" s="205"/>
      <c r="AQ37" s="205"/>
      <c r="AR37" s="205"/>
      <c r="AS37" s="205"/>
      <c r="AT37" s="205"/>
      <c r="AU37" s="205"/>
      <c r="AV37" s="205"/>
      <c r="AW37" s="205"/>
      <c r="AX37" s="205"/>
      <c r="AY37" s="206"/>
    </row>
    <row r="38" spans="1:51">
      <c r="A38" s="218">
        <f t="shared" si="0"/>
        <v>27</v>
      </c>
      <c r="B38" s="219"/>
      <c r="C38" s="48"/>
      <c r="D38" s="42"/>
      <c r="E38" s="42"/>
      <c r="F38" s="42"/>
      <c r="G38" s="42"/>
      <c r="H38" s="42"/>
      <c r="I38" s="42"/>
      <c r="J38" s="42"/>
      <c r="K38" s="44"/>
      <c r="L38" s="48"/>
      <c r="M38" s="42"/>
      <c r="N38" s="42"/>
      <c r="O38" s="42"/>
      <c r="P38" s="42"/>
      <c r="Q38" s="42"/>
      <c r="R38" s="42"/>
      <c r="S38" s="44"/>
      <c r="T38" s="207"/>
      <c r="U38" s="208"/>
      <c r="V38" s="209"/>
      <c r="W38" s="202"/>
      <c r="X38" s="204"/>
      <c r="Y38" s="202"/>
      <c r="Z38" s="204"/>
      <c r="AA38" s="215"/>
      <c r="AB38" s="216"/>
      <c r="AC38" s="46"/>
      <c r="AD38" s="24"/>
      <c r="AE38" s="24"/>
      <c r="AF38" s="24"/>
      <c r="AG38" s="51"/>
      <c r="AH38" s="215"/>
      <c r="AI38" s="216"/>
      <c r="AJ38" s="212"/>
      <c r="AK38" s="213"/>
      <c r="AL38" s="215"/>
      <c r="AM38" s="217"/>
      <c r="AN38" s="216"/>
      <c r="AO38" s="205"/>
      <c r="AP38" s="205"/>
      <c r="AQ38" s="205"/>
      <c r="AR38" s="205"/>
      <c r="AS38" s="205"/>
      <c r="AT38" s="205"/>
      <c r="AU38" s="205"/>
      <c r="AV38" s="205"/>
      <c r="AW38" s="205"/>
      <c r="AX38" s="205"/>
      <c r="AY38" s="206"/>
    </row>
    <row r="39" spans="1:51">
      <c r="A39" s="202">
        <f t="shared" si="0"/>
        <v>28</v>
      </c>
      <c r="B39" s="204"/>
      <c r="C39" s="48"/>
      <c r="D39" s="42"/>
      <c r="E39" s="42"/>
      <c r="F39" s="42"/>
      <c r="G39" s="42"/>
      <c r="H39" s="42"/>
      <c r="I39" s="42"/>
      <c r="J39" s="42"/>
      <c r="K39" s="44"/>
      <c r="L39" s="48"/>
      <c r="M39" s="42"/>
      <c r="N39" s="42"/>
      <c r="O39" s="42"/>
      <c r="P39" s="42"/>
      <c r="Q39" s="42"/>
      <c r="R39" s="42"/>
      <c r="S39" s="44"/>
      <c r="T39" s="207"/>
      <c r="U39" s="208"/>
      <c r="V39" s="209"/>
      <c r="W39" s="220"/>
      <c r="X39" s="221"/>
      <c r="Y39" s="220"/>
      <c r="Z39" s="221"/>
      <c r="AA39" s="215"/>
      <c r="AB39" s="216"/>
      <c r="AC39" s="46"/>
      <c r="AD39" s="24"/>
      <c r="AE39" s="24"/>
      <c r="AF39" s="24"/>
      <c r="AG39" s="51"/>
      <c r="AH39" s="215"/>
      <c r="AI39" s="216"/>
      <c r="AJ39" s="212"/>
      <c r="AK39" s="213"/>
      <c r="AL39" s="215"/>
      <c r="AM39" s="217"/>
      <c r="AN39" s="216"/>
      <c r="AO39" s="205"/>
      <c r="AP39" s="205"/>
      <c r="AQ39" s="205"/>
      <c r="AR39" s="205"/>
      <c r="AS39" s="205"/>
      <c r="AT39" s="205"/>
      <c r="AU39" s="205"/>
      <c r="AV39" s="205"/>
      <c r="AW39" s="205"/>
      <c r="AX39" s="205"/>
      <c r="AY39" s="206"/>
    </row>
    <row r="40" spans="1:51">
      <c r="A40" s="202">
        <f t="shared" si="0"/>
        <v>29</v>
      </c>
      <c r="B40" s="204"/>
      <c r="C40" s="48"/>
      <c r="D40" s="42"/>
      <c r="E40" s="42"/>
      <c r="F40" s="42"/>
      <c r="G40" s="42"/>
      <c r="H40" s="42"/>
      <c r="I40" s="42"/>
      <c r="J40" s="42"/>
      <c r="K40" s="44"/>
      <c r="L40" s="48"/>
      <c r="M40" s="42"/>
      <c r="N40" s="42"/>
      <c r="O40" s="42"/>
      <c r="P40" s="42"/>
      <c r="Q40" s="42"/>
      <c r="R40" s="42"/>
      <c r="S40" s="44"/>
      <c r="T40" s="207"/>
      <c r="U40" s="208"/>
      <c r="V40" s="209"/>
      <c r="W40" s="220"/>
      <c r="X40" s="221"/>
      <c r="Y40" s="220"/>
      <c r="Z40" s="221"/>
      <c r="AA40" s="215"/>
      <c r="AB40" s="216"/>
      <c r="AC40" s="46"/>
      <c r="AD40" s="24"/>
      <c r="AE40" s="24"/>
      <c r="AF40" s="24"/>
      <c r="AG40" s="51"/>
      <c r="AH40" s="215"/>
      <c r="AI40" s="216"/>
      <c r="AJ40" s="212"/>
      <c r="AK40" s="213"/>
      <c r="AL40" s="215"/>
      <c r="AM40" s="217"/>
      <c r="AN40" s="216"/>
      <c r="AO40" s="205"/>
      <c r="AP40" s="205"/>
      <c r="AQ40" s="205"/>
      <c r="AR40" s="205"/>
      <c r="AS40" s="205"/>
      <c r="AT40" s="205"/>
      <c r="AU40" s="205"/>
      <c r="AV40" s="205"/>
      <c r="AW40" s="205"/>
      <c r="AX40" s="205"/>
      <c r="AY40" s="206"/>
    </row>
    <row r="41" spans="1:51">
      <c r="A41" s="218">
        <f t="shared" si="0"/>
        <v>30</v>
      </c>
      <c r="B41" s="219"/>
      <c r="C41" s="48"/>
      <c r="D41" s="42"/>
      <c r="E41" s="42"/>
      <c r="F41" s="42"/>
      <c r="G41" s="42"/>
      <c r="H41" s="42"/>
      <c r="I41" s="42"/>
      <c r="J41" s="42"/>
      <c r="K41" s="44"/>
      <c r="L41" s="48"/>
      <c r="M41" s="42"/>
      <c r="N41" s="42"/>
      <c r="O41" s="42"/>
      <c r="P41" s="42"/>
      <c r="Q41" s="42"/>
      <c r="R41" s="42"/>
      <c r="S41" s="44"/>
      <c r="T41" s="207"/>
      <c r="U41" s="208"/>
      <c r="V41" s="209"/>
      <c r="W41" s="220"/>
      <c r="X41" s="221"/>
      <c r="Y41" s="220"/>
      <c r="Z41" s="221"/>
      <c r="AA41" s="215"/>
      <c r="AB41" s="216"/>
      <c r="AC41" s="46"/>
      <c r="AD41" s="24"/>
      <c r="AE41" s="24"/>
      <c r="AF41" s="24"/>
      <c r="AG41" s="51"/>
      <c r="AH41" s="215"/>
      <c r="AI41" s="216"/>
      <c r="AJ41" s="212"/>
      <c r="AK41" s="213"/>
      <c r="AL41" s="215"/>
      <c r="AM41" s="217"/>
      <c r="AN41" s="216"/>
      <c r="AO41" s="205"/>
      <c r="AP41" s="205"/>
      <c r="AQ41" s="205"/>
      <c r="AR41" s="205"/>
      <c r="AS41" s="205"/>
      <c r="AT41" s="205"/>
      <c r="AU41" s="205"/>
      <c r="AV41" s="205"/>
      <c r="AW41" s="205"/>
      <c r="AX41" s="205"/>
      <c r="AY41" s="206"/>
    </row>
    <row r="42" spans="1:51">
      <c r="A42" s="202">
        <f t="shared" si="0"/>
        <v>31</v>
      </c>
      <c r="B42" s="204"/>
      <c r="C42" s="48"/>
      <c r="D42" s="42"/>
      <c r="E42" s="42"/>
      <c r="F42" s="42"/>
      <c r="G42" s="42"/>
      <c r="H42" s="42"/>
      <c r="I42" s="42"/>
      <c r="J42" s="42"/>
      <c r="K42" s="44"/>
      <c r="L42" s="48"/>
      <c r="M42" s="42"/>
      <c r="N42" s="42"/>
      <c r="O42" s="42"/>
      <c r="P42" s="42"/>
      <c r="Q42" s="42"/>
      <c r="R42" s="42"/>
      <c r="S42" s="44"/>
      <c r="T42" s="207"/>
      <c r="U42" s="208"/>
      <c r="V42" s="209"/>
      <c r="W42" s="220"/>
      <c r="X42" s="221"/>
      <c r="Y42" s="220"/>
      <c r="Z42" s="221"/>
      <c r="AA42" s="215"/>
      <c r="AB42" s="216"/>
      <c r="AC42" s="46"/>
      <c r="AD42" s="24"/>
      <c r="AE42" s="24"/>
      <c r="AF42" s="24"/>
      <c r="AG42" s="51"/>
      <c r="AH42" s="215"/>
      <c r="AI42" s="216"/>
      <c r="AJ42" s="212"/>
      <c r="AK42" s="213"/>
      <c r="AL42" s="215"/>
      <c r="AM42" s="217"/>
      <c r="AN42" s="216"/>
      <c r="AO42" s="205"/>
      <c r="AP42" s="205"/>
      <c r="AQ42" s="205"/>
      <c r="AR42" s="205"/>
      <c r="AS42" s="205"/>
      <c r="AT42" s="205"/>
      <c r="AU42" s="205"/>
      <c r="AV42" s="205"/>
      <c r="AW42" s="205"/>
      <c r="AX42" s="205"/>
      <c r="AY42" s="206"/>
    </row>
    <row r="43" spans="1:51">
      <c r="A43" s="202">
        <f t="shared" si="0"/>
        <v>32</v>
      </c>
      <c r="B43" s="204"/>
      <c r="C43" s="48"/>
      <c r="D43" s="42"/>
      <c r="E43" s="42"/>
      <c r="F43" s="42"/>
      <c r="G43" s="42"/>
      <c r="H43" s="42"/>
      <c r="I43" s="42"/>
      <c r="J43" s="42"/>
      <c r="K43" s="44"/>
      <c r="L43" s="48"/>
      <c r="M43" s="42"/>
      <c r="N43" s="42"/>
      <c r="O43" s="42"/>
      <c r="P43" s="42"/>
      <c r="Q43" s="42"/>
      <c r="R43" s="42"/>
      <c r="S43" s="44"/>
      <c r="T43" s="207"/>
      <c r="U43" s="208"/>
      <c r="V43" s="209"/>
      <c r="W43" s="220"/>
      <c r="X43" s="221"/>
      <c r="Y43" s="220"/>
      <c r="Z43" s="221"/>
      <c r="AA43" s="215"/>
      <c r="AB43" s="216"/>
      <c r="AC43" s="46"/>
      <c r="AD43" s="24"/>
      <c r="AE43" s="24"/>
      <c r="AF43" s="24"/>
      <c r="AG43" s="51"/>
      <c r="AH43" s="215"/>
      <c r="AI43" s="216"/>
      <c r="AJ43" s="212"/>
      <c r="AK43" s="213"/>
      <c r="AL43" s="215"/>
      <c r="AM43" s="217"/>
      <c r="AN43" s="216"/>
      <c r="AO43" s="205"/>
      <c r="AP43" s="205"/>
      <c r="AQ43" s="205"/>
      <c r="AR43" s="205"/>
      <c r="AS43" s="205"/>
      <c r="AT43" s="205"/>
      <c r="AU43" s="205"/>
      <c r="AV43" s="205"/>
      <c r="AW43" s="205"/>
      <c r="AX43" s="205"/>
      <c r="AY43" s="206"/>
    </row>
    <row r="44" spans="1:51">
      <c r="A44" s="202">
        <f t="shared" si="0"/>
        <v>33</v>
      </c>
      <c r="B44" s="204"/>
      <c r="C44" s="48"/>
      <c r="D44" s="42"/>
      <c r="E44" s="42"/>
      <c r="F44" s="42"/>
      <c r="G44" s="42"/>
      <c r="H44" s="42"/>
      <c r="I44" s="42"/>
      <c r="J44" s="42"/>
      <c r="K44" s="44"/>
      <c r="L44" s="48"/>
      <c r="M44" s="42"/>
      <c r="N44" s="42"/>
      <c r="O44" s="42"/>
      <c r="P44" s="42"/>
      <c r="Q44" s="42"/>
      <c r="R44" s="42"/>
      <c r="S44" s="44"/>
      <c r="T44" s="207"/>
      <c r="U44" s="208"/>
      <c r="V44" s="209"/>
      <c r="W44" s="220"/>
      <c r="X44" s="221"/>
      <c r="Y44" s="220"/>
      <c r="Z44" s="221"/>
      <c r="AA44" s="215"/>
      <c r="AB44" s="216"/>
      <c r="AC44" s="46"/>
      <c r="AD44" s="24"/>
      <c r="AE44" s="24"/>
      <c r="AF44" s="24"/>
      <c r="AG44" s="51"/>
      <c r="AH44" s="215"/>
      <c r="AI44" s="216"/>
      <c r="AJ44" s="212"/>
      <c r="AK44" s="213"/>
      <c r="AL44" s="215"/>
      <c r="AM44" s="217"/>
      <c r="AN44" s="216"/>
      <c r="AO44" s="205"/>
      <c r="AP44" s="205"/>
      <c r="AQ44" s="205"/>
      <c r="AR44" s="205"/>
      <c r="AS44" s="205"/>
      <c r="AT44" s="205"/>
      <c r="AU44" s="205"/>
      <c r="AV44" s="205"/>
      <c r="AW44" s="205"/>
      <c r="AX44" s="205"/>
      <c r="AY44" s="206"/>
    </row>
    <row r="45" spans="1:51">
      <c r="A45" s="202">
        <f t="shared" si="0"/>
        <v>34</v>
      </c>
      <c r="B45" s="204"/>
      <c r="C45" s="48"/>
      <c r="D45" s="42"/>
      <c r="E45" s="42"/>
      <c r="F45" s="42"/>
      <c r="G45" s="42"/>
      <c r="H45" s="42"/>
      <c r="I45" s="42"/>
      <c r="J45" s="42"/>
      <c r="K45" s="44"/>
      <c r="L45" s="48"/>
      <c r="M45" s="42"/>
      <c r="N45" s="42"/>
      <c r="O45" s="42"/>
      <c r="P45" s="42"/>
      <c r="Q45" s="42"/>
      <c r="R45" s="42"/>
      <c r="S45" s="44"/>
      <c r="T45" s="207"/>
      <c r="U45" s="208"/>
      <c r="V45" s="209"/>
      <c r="W45" s="220"/>
      <c r="X45" s="221"/>
      <c r="Y45" s="215"/>
      <c r="Z45" s="216"/>
      <c r="AA45" s="215"/>
      <c r="AB45" s="216"/>
      <c r="AC45" s="46"/>
      <c r="AD45" s="24"/>
      <c r="AE45" s="24"/>
      <c r="AF45" s="24"/>
      <c r="AG45" s="51"/>
      <c r="AH45" s="215"/>
      <c r="AI45" s="216"/>
      <c r="AJ45" s="212"/>
      <c r="AK45" s="213"/>
      <c r="AL45" s="215"/>
      <c r="AM45" s="217"/>
      <c r="AN45" s="216"/>
      <c r="AO45" s="205"/>
      <c r="AP45" s="205"/>
      <c r="AQ45" s="205"/>
      <c r="AR45" s="205"/>
      <c r="AS45" s="205"/>
      <c r="AT45" s="205"/>
      <c r="AU45" s="205"/>
      <c r="AV45" s="205"/>
      <c r="AW45" s="205"/>
      <c r="AX45" s="205"/>
      <c r="AY45" s="206"/>
    </row>
    <row r="46" spans="1:51">
      <c r="A46" s="210">
        <f t="shared" si="0"/>
        <v>35</v>
      </c>
      <c r="B46" s="211"/>
      <c r="C46" s="48"/>
      <c r="D46" s="42"/>
      <c r="E46" s="42"/>
      <c r="F46" s="42"/>
      <c r="G46" s="42"/>
      <c r="H46" s="42"/>
      <c r="I46" s="42"/>
      <c r="J46" s="42"/>
      <c r="K46" s="44"/>
      <c r="L46" s="48"/>
      <c r="M46" s="42"/>
      <c r="N46" s="42"/>
      <c r="O46" s="42"/>
      <c r="P46" s="42"/>
      <c r="Q46" s="42"/>
      <c r="R46" s="42"/>
      <c r="S46" s="44"/>
      <c r="T46" s="207"/>
      <c r="U46" s="208"/>
      <c r="V46" s="209"/>
      <c r="W46" s="220"/>
      <c r="X46" s="221"/>
      <c r="Y46" s="225"/>
      <c r="Z46" s="226"/>
      <c r="AA46" s="225"/>
      <c r="AB46" s="226"/>
      <c r="AC46" s="43"/>
      <c r="AD46" s="10"/>
      <c r="AE46" s="10"/>
      <c r="AF46" s="10"/>
      <c r="AG46" s="52"/>
      <c r="AH46" s="225"/>
      <c r="AI46" s="226"/>
      <c r="AJ46" s="227"/>
      <c r="AK46" s="228"/>
      <c r="AL46" s="225"/>
      <c r="AM46" s="229"/>
      <c r="AN46" s="226"/>
      <c r="AO46" s="230"/>
      <c r="AP46" s="230"/>
      <c r="AQ46" s="230"/>
      <c r="AR46" s="230"/>
      <c r="AS46" s="230"/>
      <c r="AT46" s="230"/>
      <c r="AU46" s="230"/>
      <c r="AV46" s="230"/>
      <c r="AW46" s="230"/>
      <c r="AX46" s="230"/>
      <c r="AY46" s="231"/>
    </row>
    <row r="47" spans="1:51">
      <c r="A47" s="210">
        <f t="shared" si="0"/>
        <v>36</v>
      </c>
      <c r="B47" s="211"/>
      <c r="C47" s="48"/>
      <c r="D47" s="42"/>
      <c r="E47" s="42"/>
      <c r="F47" s="42"/>
      <c r="G47" s="42"/>
      <c r="H47" s="42"/>
      <c r="I47" s="42"/>
      <c r="J47" s="42"/>
      <c r="K47" s="44"/>
      <c r="L47" s="48"/>
      <c r="M47" s="42"/>
      <c r="N47" s="42"/>
      <c r="O47" s="42"/>
      <c r="P47" s="42"/>
      <c r="Q47" s="42"/>
      <c r="R47" s="42"/>
      <c r="S47" s="44"/>
      <c r="T47" s="207"/>
      <c r="U47" s="208"/>
      <c r="V47" s="209"/>
      <c r="W47" s="220"/>
      <c r="X47" s="221"/>
      <c r="Y47" s="225"/>
      <c r="Z47" s="226"/>
      <c r="AA47" s="225"/>
      <c r="AB47" s="226"/>
      <c r="AC47" s="43"/>
      <c r="AD47" s="10"/>
      <c r="AE47" s="10"/>
      <c r="AF47" s="10"/>
      <c r="AG47" s="52"/>
      <c r="AH47" s="225"/>
      <c r="AI47" s="226"/>
      <c r="AJ47" s="227"/>
      <c r="AK47" s="228"/>
      <c r="AL47" s="225"/>
      <c r="AM47" s="229"/>
      <c r="AN47" s="226"/>
      <c r="AO47" s="230"/>
      <c r="AP47" s="230"/>
      <c r="AQ47" s="230"/>
      <c r="AR47" s="230"/>
      <c r="AS47" s="230"/>
      <c r="AT47" s="230"/>
      <c r="AU47" s="230"/>
      <c r="AV47" s="230"/>
      <c r="AW47" s="230"/>
      <c r="AX47" s="230"/>
      <c r="AY47" s="231"/>
    </row>
    <row r="48" spans="1:51">
      <c r="A48" s="210">
        <f t="shared" si="0"/>
        <v>37</v>
      </c>
      <c r="B48" s="211"/>
      <c r="C48" s="48"/>
      <c r="D48" s="42"/>
      <c r="E48" s="42"/>
      <c r="F48" s="42"/>
      <c r="G48" s="42"/>
      <c r="H48" s="42"/>
      <c r="I48" s="42"/>
      <c r="J48" s="42"/>
      <c r="K48" s="44"/>
      <c r="L48" s="48"/>
      <c r="M48" s="42"/>
      <c r="N48" s="42"/>
      <c r="O48" s="42"/>
      <c r="P48" s="42"/>
      <c r="Q48" s="42"/>
      <c r="R48" s="42"/>
      <c r="S48" s="44"/>
      <c r="T48" s="207"/>
      <c r="U48" s="208"/>
      <c r="V48" s="209"/>
      <c r="W48" s="220"/>
      <c r="X48" s="221"/>
      <c r="Y48" s="225"/>
      <c r="Z48" s="226"/>
      <c r="AA48" s="225"/>
      <c r="AB48" s="226"/>
      <c r="AC48" s="43"/>
      <c r="AD48" s="10"/>
      <c r="AE48" s="10"/>
      <c r="AF48" s="10"/>
      <c r="AG48" s="52"/>
      <c r="AH48" s="225"/>
      <c r="AI48" s="226"/>
      <c r="AJ48" s="227"/>
      <c r="AK48" s="228"/>
      <c r="AL48" s="225"/>
      <c r="AM48" s="229"/>
      <c r="AN48" s="226"/>
      <c r="AO48" s="230"/>
      <c r="AP48" s="230"/>
      <c r="AQ48" s="230"/>
      <c r="AR48" s="230"/>
      <c r="AS48" s="230"/>
      <c r="AT48" s="230"/>
      <c r="AU48" s="230"/>
      <c r="AV48" s="230"/>
      <c r="AW48" s="230"/>
      <c r="AX48" s="230"/>
      <c r="AY48" s="231"/>
    </row>
    <row r="49" spans="1:51">
      <c r="A49" s="210">
        <f t="shared" si="0"/>
        <v>38</v>
      </c>
      <c r="B49" s="211"/>
      <c r="C49" s="48"/>
      <c r="D49" s="42"/>
      <c r="E49" s="42"/>
      <c r="F49" s="42"/>
      <c r="G49" s="42"/>
      <c r="H49" s="42"/>
      <c r="I49" s="42"/>
      <c r="J49" s="42"/>
      <c r="K49" s="44"/>
      <c r="L49" s="48"/>
      <c r="M49" s="42"/>
      <c r="N49" s="42"/>
      <c r="O49" s="42"/>
      <c r="P49" s="42"/>
      <c r="Q49" s="42"/>
      <c r="R49" s="42"/>
      <c r="S49" s="44"/>
      <c r="T49" s="207"/>
      <c r="U49" s="208"/>
      <c r="V49" s="209"/>
      <c r="W49" s="220"/>
      <c r="X49" s="221"/>
      <c r="Y49" s="225"/>
      <c r="Z49" s="226"/>
      <c r="AA49" s="225"/>
      <c r="AB49" s="226"/>
      <c r="AC49" s="43"/>
      <c r="AD49" s="10"/>
      <c r="AE49" s="10"/>
      <c r="AF49" s="10"/>
      <c r="AG49" s="52"/>
      <c r="AH49" s="225"/>
      <c r="AI49" s="226"/>
      <c r="AJ49" s="227"/>
      <c r="AK49" s="228"/>
      <c r="AL49" s="225"/>
      <c r="AM49" s="229"/>
      <c r="AN49" s="226"/>
      <c r="AO49" s="230"/>
      <c r="AP49" s="230"/>
      <c r="AQ49" s="230"/>
      <c r="AR49" s="230"/>
      <c r="AS49" s="230"/>
      <c r="AT49" s="230"/>
      <c r="AU49" s="230"/>
      <c r="AV49" s="230"/>
      <c r="AW49" s="230"/>
      <c r="AX49" s="230"/>
      <c r="AY49" s="231"/>
    </row>
    <row r="50" spans="1:51">
      <c r="A50" s="210">
        <f t="shared" si="0"/>
        <v>39</v>
      </c>
      <c r="B50" s="211"/>
      <c r="C50" s="48"/>
      <c r="D50" s="42"/>
      <c r="E50" s="42"/>
      <c r="F50" s="42"/>
      <c r="G50" s="42"/>
      <c r="H50" s="42"/>
      <c r="I50" s="42"/>
      <c r="J50" s="42"/>
      <c r="K50" s="44"/>
      <c r="L50" s="48"/>
      <c r="M50" s="42"/>
      <c r="N50" s="42"/>
      <c r="O50" s="42"/>
      <c r="P50" s="42"/>
      <c r="Q50" s="42"/>
      <c r="R50" s="42"/>
      <c r="S50" s="44"/>
      <c r="T50" s="207"/>
      <c r="U50" s="208"/>
      <c r="V50" s="209"/>
      <c r="W50" s="220"/>
      <c r="X50" s="221"/>
      <c r="Y50" s="225"/>
      <c r="Z50" s="226"/>
      <c r="AA50" s="225"/>
      <c r="AB50" s="226"/>
      <c r="AC50" s="43"/>
      <c r="AD50" s="10"/>
      <c r="AE50" s="10"/>
      <c r="AF50" s="10"/>
      <c r="AG50" s="52"/>
      <c r="AH50" s="225"/>
      <c r="AI50" s="226"/>
      <c r="AJ50" s="227"/>
      <c r="AK50" s="228"/>
      <c r="AL50" s="225"/>
      <c r="AM50" s="229"/>
      <c r="AN50" s="226"/>
      <c r="AO50" s="230"/>
      <c r="AP50" s="230"/>
      <c r="AQ50" s="230"/>
      <c r="AR50" s="230"/>
      <c r="AS50" s="230"/>
      <c r="AT50" s="230"/>
      <c r="AU50" s="230"/>
      <c r="AV50" s="230"/>
      <c r="AW50" s="230"/>
      <c r="AX50" s="230"/>
      <c r="AY50" s="231"/>
    </row>
    <row r="51" spans="1:51">
      <c r="A51" s="210">
        <f t="shared" si="0"/>
        <v>40</v>
      </c>
      <c r="B51" s="211"/>
      <c r="C51" s="48"/>
      <c r="D51" s="42"/>
      <c r="E51" s="42"/>
      <c r="F51" s="42"/>
      <c r="G51" s="42"/>
      <c r="H51" s="42"/>
      <c r="I51" s="42"/>
      <c r="J51" s="42"/>
      <c r="K51" s="44"/>
      <c r="L51" s="48"/>
      <c r="M51" s="42"/>
      <c r="N51" s="42"/>
      <c r="O51" s="42"/>
      <c r="P51" s="42"/>
      <c r="Q51" s="42"/>
      <c r="R51" s="42"/>
      <c r="S51" s="44"/>
      <c r="T51" s="207"/>
      <c r="U51" s="208"/>
      <c r="V51" s="209"/>
      <c r="W51" s="220"/>
      <c r="X51" s="221"/>
      <c r="Y51" s="225"/>
      <c r="Z51" s="226"/>
      <c r="AA51" s="225"/>
      <c r="AB51" s="226"/>
      <c r="AC51" s="43"/>
      <c r="AD51" s="10"/>
      <c r="AE51" s="10"/>
      <c r="AF51" s="10"/>
      <c r="AG51" s="52"/>
      <c r="AH51" s="225"/>
      <c r="AI51" s="226"/>
      <c r="AJ51" s="227"/>
      <c r="AK51" s="228"/>
      <c r="AL51" s="225"/>
      <c r="AM51" s="229"/>
      <c r="AN51" s="226"/>
      <c r="AO51" s="230"/>
      <c r="AP51" s="230"/>
      <c r="AQ51" s="230"/>
      <c r="AR51" s="230"/>
      <c r="AS51" s="230"/>
      <c r="AT51" s="230"/>
      <c r="AU51" s="230"/>
      <c r="AV51" s="230"/>
      <c r="AW51" s="230"/>
      <c r="AX51" s="230"/>
      <c r="AY51" s="231"/>
    </row>
    <row r="52" spans="1:51">
      <c r="A52" s="210">
        <f t="shared" si="0"/>
        <v>41</v>
      </c>
      <c r="B52" s="211"/>
      <c r="C52" s="48"/>
      <c r="D52" s="42"/>
      <c r="E52" s="42"/>
      <c r="F52" s="42"/>
      <c r="G52" s="42"/>
      <c r="H52" s="42"/>
      <c r="I52" s="42"/>
      <c r="J52" s="42"/>
      <c r="K52" s="44"/>
      <c r="L52" s="48"/>
      <c r="M52" s="42"/>
      <c r="N52" s="42"/>
      <c r="O52" s="42"/>
      <c r="P52" s="42"/>
      <c r="Q52" s="42"/>
      <c r="R52" s="42"/>
      <c r="S52" s="44"/>
      <c r="T52" s="207"/>
      <c r="U52" s="208"/>
      <c r="V52" s="209"/>
      <c r="W52" s="225"/>
      <c r="X52" s="226"/>
      <c r="Y52" s="225"/>
      <c r="Z52" s="226"/>
      <c r="AA52" s="225"/>
      <c r="AB52" s="226"/>
      <c r="AC52" s="43"/>
      <c r="AD52" s="10"/>
      <c r="AE52" s="10"/>
      <c r="AF52" s="10"/>
      <c r="AG52" s="52"/>
      <c r="AH52" s="225"/>
      <c r="AI52" s="226"/>
      <c r="AJ52" s="227"/>
      <c r="AK52" s="228"/>
      <c r="AL52" s="225"/>
      <c r="AM52" s="229"/>
      <c r="AN52" s="226"/>
      <c r="AO52" s="230"/>
      <c r="AP52" s="230"/>
      <c r="AQ52" s="230"/>
      <c r="AR52" s="230"/>
      <c r="AS52" s="230"/>
      <c r="AT52" s="230"/>
      <c r="AU52" s="230"/>
      <c r="AV52" s="230"/>
      <c r="AW52" s="230"/>
      <c r="AX52" s="230"/>
      <c r="AY52" s="231"/>
    </row>
    <row r="53" spans="1:51">
      <c r="A53" s="210">
        <f t="shared" si="0"/>
        <v>42</v>
      </c>
      <c r="B53" s="211"/>
      <c r="C53" s="48"/>
      <c r="D53" s="42"/>
      <c r="E53" s="42"/>
      <c r="F53" s="42"/>
      <c r="G53" s="42"/>
      <c r="H53" s="42"/>
      <c r="I53" s="42"/>
      <c r="J53" s="42"/>
      <c r="K53" s="44"/>
      <c r="L53" s="48"/>
      <c r="M53" s="42"/>
      <c r="N53" s="42"/>
      <c r="O53" s="42"/>
      <c r="P53" s="42"/>
      <c r="Q53" s="42"/>
      <c r="R53" s="42"/>
      <c r="S53" s="44"/>
      <c r="T53" s="207"/>
      <c r="U53" s="208"/>
      <c r="V53" s="209"/>
      <c r="W53" s="225"/>
      <c r="X53" s="226"/>
      <c r="Y53" s="225"/>
      <c r="Z53" s="226"/>
      <c r="AA53" s="225"/>
      <c r="AB53" s="226"/>
      <c r="AC53" s="43"/>
      <c r="AD53" s="10"/>
      <c r="AE53" s="10"/>
      <c r="AF53" s="10"/>
      <c r="AG53" s="52"/>
      <c r="AH53" s="225"/>
      <c r="AI53" s="226"/>
      <c r="AJ53" s="227"/>
      <c r="AK53" s="228"/>
      <c r="AL53" s="225"/>
      <c r="AM53" s="229"/>
      <c r="AN53" s="226"/>
      <c r="AO53" s="230"/>
      <c r="AP53" s="230"/>
      <c r="AQ53" s="230"/>
      <c r="AR53" s="230"/>
      <c r="AS53" s="230"/>
      <c r="AT53" s="230"/>
      <c r="AU53" s="230"/>
      <c r="AV53" s="230"/>
      <c r="AW53" s="230"/>
      <c r="AX53" s="230"/>
      <c r="AY53" s="231"/>
    </row>
    <row r="54" spans="1:51">
      <c r="A54" s="210">
        <f t="shared" si="0"/>
        <v>43</v>
      </c>
      <c r="B54" s="211"/>
      <c r="C54" s="48"/>
      <c r="D54" s="42"/>
      <c r="E54" s="42"/>
      <c r="F54" s="42"/>
      <c r="G54" s="42"/>
      <c r="H54" s="42"/>
      <c r="I54" s="42"/>
      <c r="J54" s="42"/>
      <c r="K54" s="44"/>
      <c r="L54" s="48"/>
      <c r="M54" s="42"/>
      <c r="N54" s="42"/>
      <c r="O54" s="42"/>
      <c r="P54" s="42"/>
      <c r="Q54" s="42"/>
      <c r="R54" s="42"/>
      <c r="S54" s="44"/>
      <c r="T54" s="207"/>
      <c r="U54" s="208"/>
      <c r="V54" s="209"/>
      <c r="W54" s="225"/>
      <c r="X54" s="226"/>
      <c r="Y54" s="225"/>
      <c r="Z54" s="226"/>
      <c r="AA54" s="225"/>
      <c r="AB54" s="226"/>
      <c r="AC54" s="43"/>
      <c r="AD54" s="10"/>
      <c r="AE54" s="10"/>
      <c r="AF54" s="10"/>
      <c r="AG54" s="52"/>
      <c r="AH54" s="225"/>
      <c r="AI54" s="226"/>
      <c r="AJ54" s="227"/>
      <c r="AK54" s="228"/>
      <c r="AL54" s="225"/>
      <c r="AM54" s="229"/>
      <c r="AN54" s="226"/>
      <c r="AO54" s="230"/>
      <c r="AP54" s="230"/>
      <c r="AQ54" s="230"/>
      <c r="AR54" s="230"/>
      <c r="AS54" s="230"/>
      <c r="AT54" s="230"/>
      <c r="AU54" s="230"/>
      <c r="AV54" s="230"/>
      <c r="AW54" s="230"/>
      <c r="AX54" s="230"/>
      <c r="AY54" s="231"/>
    </row>
  </sheetData>
  <mergeCells count="455">
    <mergeCell ref="AJ54:AK54"/>
    <mergeCell ref="AL54:AN54"/>
    <mergeCell ref="AO54:AY54"/>
    <mergeCell ref="A54:B54"/>
    <mergeCell ref="T54:V54"/>
    <mergeCell ref="W54:X54"/>
    <mergeCell ref="Y54:Z54"/>
    <mergeCell ref="AA54:AB54"/>
    <mergeCell ref="AH54:AI54"/>
    <mergeCell ref="A53:B53"/>
    <mergeCell ref="T53:V53"/>
    <mergeCell ref="W53:X53"/>
    <mergeCell ref="Y53:Z53"/>
    <mergeCell ref="AA53:AB53"/>
    <mergeCell ref="AH53:AI53"/>
    <mergeCell ref="AJ53:AK53"/>
    <mergeCell ref="AL53:AN53"/>
    <mergeCell ref="AO53:AY53"/>
    <mergeCell ref="A52:B52"/>
    <mergeCell ref="T52:V52"/>
    <mergeCell ref="W52:X52"/>
    <mergeCell ref="Y52:Z52"/>
    <mergeCell ref="AA52:AB52"/>
    <mergeCell ref="AH52:AI52"/>
    <mergeCell ref="AJ52:AK52"/>
    <mergeCell ref="AL52:AN52"/>
    <mergeCell ref="AO52:AY52"/>
    <mergeCell ref="AJ50:AK50"/>
    <mergeCell ref="AL50:AN50"/>
    <mergeCell ref="AO50:AY50"/>
    <mergeCell ref="A51:B51"/>
    <mergeCell ref="T51:V51"/>
    <mergeCell ref="W51:X51"/>
    <mergeCell ref="Y51:Z51"/>
    <mergeCell ref="AA51:AB51"/>
    <mergeCell ref="AH51:AI51"/>
    <mergeCell ref="AJ51:AK51"/>
    <mergeCell ref="A50:B50"/>
    <mergeCell ref="T50:V50"/>
    <mergeCell ref="W50:X50"/>
    <mergeCell ref="Y50:Z50"/>
    <mergeCell ref="AA50:AB50"/>
    <mergeCell ref="AH50:AI50"/>
    <mergeCell ref="AL51:AN51"/>
    <mergeCell ref="AO51:AY51"/>
    <mergeCell ref="A49:B49"/>
    <mergeCell ref="T49:V49"/>
    <mergeCell ref="W49:X49"/>
    <mergeCell ref="Y49:Z49"/>
    <mergeCell ref="AA49:AB49"/>
    <mergeCell ref="AH49:AI49"/>
    <mergeCell ref="AJ49:AK49"/>
    <mergeCell ref="AL49:AN49"/>
    <mergeCell ref="AO49:AY49"/>
    <mergeCell ref="A48:B48"/>
    <mergeCell ref="T48:V48"/>
    <mergeCell ref="W48:X48"/>
    <mergeCell ref="Y48:Z48"/>
    <mergeCell ref="AA48:AB48"/>
    <mergeCell ref="AH48:AI48"/>
    <mergeCell ref="AJ48:AK48"/>
    <mergeCell ref="AL48:AN48"/>
    <mergeCell ref="AO48:AY48"/>
    <mergeCell ref="AJ46:AK46"/>
    <mergeCell ref="AL46:AN46"/>
    <mergeCell ref="AO46:AY46"/>
    <mergeCell ref="A47:B47"/>
    <mergeCell ref="T47:V47"/>
    <mergeCell ref="W47:X47"/>
    <mergeCell ref="Y47:Z47"/>
    <mergeCell ref="AA47:AB47"/>
    <mergeCell ref="AH47:AI47"/>
    <mergeCell ref="AJ47:AK47"/>
    <mergeCell ref="A46:B46"/>
    <mergeCell ref="T46:V46"/>
    <mergeCell ref="W46:X46"/>
    <mergeCell ref="Y46:Z46"/>
    <mergeCell ref="AA46:AB46"/>
    <mergeCell ref="AH46:AI46"/>
    <mergeCell ref="AL47:AN47"/>
    <mergeCell ref="AO47:AY47"/>
    <mergeCell ref="A45:B45"/>
    <mergeCell ref="T45:V45"/>
    <mergeCell ref="W45:X45"/>
    <mergeCell ref="Y45:Z45"/>
    <mergeCell ref="AA45:AB45"/>
    <mergeCell ref="AH45:AI45"/>
    <mergeCell ref="AJ45:AK45"/>
    <mergeCell ref="AL45:AN45"/>
    <mergeCell ref="AO45:AY45"/>
    <mergeCell ref="A44:B44"/>
    <mergeCell ref="T44:V44"/>
    <mergeCell ref="W44:X44"/>
    <mergeCell ref="Y44:Z44"/>
    <mergeCell ref="AA44:AB44"/>
    <mergeCell ref="AH44:AI44"/>
    <mergeCell ref="AJ44:AK44"/>
    <mergeCell ref="AL44:AN44"/>
    <mergeCell ref="AO44:AY44"/>
    <mergeCell ref="AJ42:AK42"/>
    <mergeCell ref="AL42:AN42"/>
    <mergeCell ref="AO42:AY42"/>
    <mergeCell ref="A43:B43"/>
    <mergeCell ref="T43:V43"/>
    <mergeCell ref="W43:X43"/>
    <mergeCell ref="Y43:Z43"/>
    <mergeCell ref="AA43:AB43"/>
    <mergeCell ref="AH43:AI43"/>
    <mergeCell ref="AJ43:AK43"/>
    <mergeCell ref="A42:B42"/>
    <mergeCell ref="T42:V42"/>
    <mergeCell ref="W42:X42"/>
    <mergeCell ref="Y42:Z42"/>
    <mergeCell ref="AA42:AB42"/>
    <mergeCell ref="AH42:AI42"/>
    <mergeCell ref="AL43:AN43"/>
    <mergeCell ref="AO43:AY43"/>
    <mergeCell ref="A41:B41"/>
    <mergeCell ref="T41:V41"/>
    <mergeCell ref="W41:X41"/>
    <mergeCell ref="Y41:Z41"/>
    <mergeCell ref="AA41:AB41"/>
    <mergeCell ref="AH41:AI41"/>
    <mergeCell ref="AJ41:AK41"/>
    <mergeCell ref="AL41:AN41"/>
    <mergeCell ref="AO41:AY41"/>
    <mergeCell ref="A40:B40"/>
    <mergeCell ref="T40:V40"/>
    <mergeCell ref="W40:X40"/>
    <mergeCell ref="Y40:Z40"/>
    <mergeCell ref="AA40:AB40"/>
    <mergeCell ref="AH40:AI40"/>
    <mergeCell ref="AJ40:AK40"/>
    <mergeCell ref="AL40:AN40"/>
    <mergeCell ref="AO40:AY40"/>
    <mergeCell ref="AJ38:AK38"/>
    <mergeCell ref="AL38:AN38"/>
    <mergeCell ref="AO38:AY38"/>
    <mergeCell ref="A39:B39"/>
    <mergeCell ref="T39:V39"/>
    <mergeCell ref="W39:X39"/>
    <mergeCell ref="Y39:Z39"/>
    <mergeCell ref="AA39:AB39"/>
    <mergeCell ref="AH39:AI39"/>
    <mergeCell ref="AJ39:AK39"/>
    <mergeCell ref="A38:B38"/>
    <mergeCell ref="T38:V38"/>
    <mergeCell ref="W38:X38"/>
    <mergeCell ref="Y38:Z38"/>
    <mergeCell ref="AA38:AB38"/>
    <mergeCell ref="AH38:AI38"/>
    <mergeCell ref="AL39:AN39"/>
    <mergeCell ref="AO39:AY39"/>
    <mergeCell ref="A37:B37"/>
    <mergeCell ref="T37:V37"/>
    <mergeCell ref="W37:X37"/>
    <mergeCell ref="Y37:Z37"/>
    <mergeCell ref="AA37:AB37"/>
    <mergeCell ref="AH37:AI37"/>
    <mergeCell ref="AJ37:AK37"/>
    <mergeCell ref="AL37:AN37"/>
    <mergeCell ref="AO37:AY37"/>
    <mergeCell ref="A36:B36"/>
    <mergeCell ref="T36:V36"/>
    <mergeCell ref="W36:X36"/>
    <mergeCell ref="Y36:Z36"/>
    <mergeCell ref="AA36:AB36"/>
    <mergeCell ref="AH36:AI36"/>
    <mergeCell ref="AJ36:AK36"/>
    <mergeCell ref="AL36:AN36"/>
    <mergeCell ref="AO36:AY36"/>
    <mergeCell ref="AJ34:AK34"/>
    <mergeCell ref="AL34:AN34"/>
    <mergeCell ref="AO34:AY34"/>
    <mergeCell ref="A35:B35"/>
    <mergeCell ref="T35:V35"/>
    <mergeCell ref="W35:X35"/>
    <mergeCell ref="Y35:Z35"/>
    <mergeCell ref="AA35:AB35"/>
    <mergeCell ref="AH35:AI35"/>
    <mergeCell ref="AJ35:AK35"/>
    <mergeCell ref="A34:B34"/>
    <mergeCell ref="T34:V34"/>
    <mergeCell ref="W34:X34"/>
    <mergeCell ref="Y34:Z34"/>
    <mergeCell ref="AA34:AB34"/>
    <mergeCell ref="AH34:AI34"/>
    <mergeCell ref="AL35:AN35"/>
    <mergeCell ref="AO35:AY35"/>
    <mergeCell ref="A33:B33"/>
    <mergeCell ref="T33:V33"/>
    <mergeCell ref="W33:X33"/>
    <mergeCell ref="Y33:Z33"/>
    <mergeCell ref="AA33:AB33"/>
    <mergeCell ref="AH33:AI33"/>
    <mergeCell ref="AJ33:AK33"/>
    <mergeCell ref="AL33:AN33"/>
    <mergeCell ref="AO33:AY33"/>
    <mergeCell ref="A32:B32"/>
    <mergeCell ref="T32:V32"/>
    <mergeCell ref="W32:X32"/>
    <mergeCell ref="Y32:Z32"/>
    <mergeCell ref="AA32:AB32"/>
    <mergeCell ref="AH32:AI32"/>
    <mergeCell ref="AJ32:AK32"/>
    <mergeCell ref="AL32:AN32"/>
    <mergeCell ref="AO32:AY32"/>
    <mergeCell ref="AJ30:AK30"/>
    <mergeCell ref="AL30:AN30"/>
    <mergeCell ref="AO30:AY30"/>
    <mergeCell ref="A31:B31"/>
    <mergeCell ref="T31:V31"/>
    <mergeCell ref="W31:X31"/>
    <mergeCell ref="Y31:Z31"/>
    <mergeCell ref="AA31:AB31"/>
    <mergeCell ref="AH31:AI31"/>
    <mergeCell ref="AJ31:AK31"/>
    <mergeCell ref="A30:B30"/>
    <mergeCell ref="T30:V30"/>
    <mergeCell ref="W30:X30"/>
    <mergeCell ref="Y30:Z30"/>
    <mergeCell ref="AA30:AB30"/>
    <mergeCell ref="AH30:AI30"/>
    <mergeCell ref="AL31:AN31"/>
    <mergeCell ref="AO31:AY31"/>
    <mergeCell ref="A29:B29"/>
    <mergeCell ref="T29:V29"/>
    <mergeCell ref="W29:X29"/>
    <mergeCell ref="Y29:Z29"/>
    <mergeCell ref="AA29:AB29"/>
    <mergeCell ref="AH29:AI29"/>
    <mergeCell ref="AJ29:AK29"/>
    <mergeCell ref="AL29:AN29"/>
    <mergeCell ref="AO29:AY29"/>
    <mergeCell ref="A28:B28"/>
    <mergeCell ref="T28:V28"/>
    <mergeCell ref="W28:X28"/>
    <mergeCell ref="Y28:Z28"/>
    <mergeCell ref="AA28:AB28"/>
    <mergeCell ref="AH28:AI28"/>
    <mergeCell ref="AJ28:AK28"/>
    <mergeCell ref="AL28:AN28"/>
    <mergeCell ref="AO28:AY28"/>
    <mergeCell ref="AJ26:AK26"/>
    <mergeCell ref="AL26:AN26"/>
    <mergeCell ref="AO26:AY26"/>
    <mergeCell ref="A27:B27"/>
    <mergeCell ref="T27:V27"/>
    <mergeCell ref="W27:X27"/>
    <mergeCell ref="Y27:Z27"/>
    <mergeCell ref="AA27:AB27"/>
    <mergeCell ref="AH27:AI27"/>
    <mergeCell ref="AJ27:AK27"/>
    <mergeCell ref="A26:B26"/>
    <mergeCell ref="T26:V26"/>
    <mergeCell ref="W26:X26"/>
    <mergeCell ref="Y26:Z26"/>
    <mergeCell ref="AA26:AB26"/>
    <mergeCell ref="AH26:AI26"/>
    <mergeCell ref="AL27:AN27"/>
    <mergeCell ref="AO27:AY27"/>
    <mergeCell ref="A25:B25"/>
    <mergeCell ref="T25:V25"/>
    <mergeCell ref="W25:X25"/>
    <mergeCell ref="Y25:Z25"/>
    <mergeCell ref="AA25:AB25"/>
    <mergeCell ref="AH25:AI25"/>
    <mergeCell ref="AJ25:AK25"/>
    <mergeCell ref="AL25:AN25"/>
    <mergeCell ref="AO25:AY25"/>
    <mergeCell ref="A24:B24"/>
    <mergeCell ref="T24:V24"/>
    <mergeCell ref="W24:X24"/>
    <mergeCell ref="Y24:Z24"/>
    <mergeCell ref="AA24:AB24"/>
    <mergeCell ref="AH24:AI24"/>
    <mergeCell ref="AJ24:AK24"/>
    <mergeCell ref="AL24:AN24"/>
    <mergeCell ref="AO24:AY24"/>
    <mergeCell ref="AJ22:AK22"/>
    <mergeCell ref="AL22:AN22"/>
    <mergeCell ref="AO22:AY22"/>
    <mergeCell ref="A23:B23"/>
    <mergeCell ref="T23:V23"/>
    <mergeCell ref="W23:X23"/>
    <mergeCell ref="Y23:Z23"/>
    <mergeCell ref="AA23:AB23"/>
    <mergeCell ref="AH23:AI23"/>
    <mergeCell ref="AJ23:AK23"/>
    <mergeCell ref="A22:B22"/>
    <mergeCell ref="T22:V22"/>
    <mergeCell ref="W22:X22"/>
    <mergeCell ref="Y22:Z22"/>
    <mergeCell ref="AA22:AB22"/>
    <mergeCell ref="AH22:AI22"/>
    <mergeCell ref="AL23:AN23"/>
    <mergeCell ref="AO23:AY23"/>
    <mergeCell ref="AA21:AB21"/>
    <mergeCell ref="AH21:AI21"/>
    <mergeCell ref="AJ21:AK21"/>
    <mergeCell ref="AL21:AN21"/>
    <mergeCell ref="AO21:AY21"/>
    <mergeCell ref="AA20:AB20"/>
    <mergeCell ref="AH20:AI20"/>
    <mergeCell ref="AJ20:AK20"/>
    <mergeCell ref="AL20:AN20"/>
    <mergeCell ref="AO20:AY20"/>
    <mergeCell ref="A21:B21"/>
    <mergeCell ref="L21:S21"/>
    <mergeCell ref="T21:V21"/>
    <mergeCell ref="W21:X21"/>
    <mergeCell ref="A20:B20"/>
    <mergeCell ref="L20:S20"/>
    <mergeCell ref="T20:V20"/>
    <mergeCell ref="W20:X20"/>
    <mergeCell ref="Y21:Z21"/>
    <mergeCell ref="Y20:Z20"/>
    <mergeCell ref="AA19:AB19"/>
    <mergeCell ref="AH19:AI19"/>
    <mergeCell ref="AJ19:AK19"/>
    <mergeCell ref="AL19:AN19"/>
    <mergeCell ref="AO19:AY19"/>
    <mergeCell ref="AA18:AB18"/>
    <mergeCell ref="AH18:AI18"/>
    <mergeCell ref="AJ18:AK18"/>
    <mergeCell ref="AL18:AN18"/>
    <mergeCell ref="AO18:AY18"/>
    <mergeCell ref="A19:B19"/>
    <mergeCell ref="L19:S19"/>
    <mergeCell ref="T19:V19"/>
    <mergeCell ref="W19:X19"/>
    <mergeCell ref="A18:B18"/>
    <mergeCell ref="L18:S18"/>
    <mergeCell ref="T18:V18"/>
    <mergeCell ref="W18:X18"/>
    <mergeCell ref="Y19:Z19"/>
    <mergeCell ref="Y18:Z18"/>
    <mergeCell ref="AA17:AB17"/>
    <mergeCell ref="AH17:AI17"/>
    <mergeCell ref="AJ17:AK17"/>
    <mergeCell ref="AL17:AN17"/>
    <mergeCell ref="AO17:AY17"/>
    <mergeCell ref="AA16:AB16"/>
    <mergeCell ref="AH16:AI16"/>
    <mergeCell ref="AJ16:AK16"/>
    <mergeCell ref="AL16:AN16"/>
    <mergeCell ref="AO16:AY16"/>
    <mergeCell ref="A17:B17"/>
    <mergeCell ref="L17:S17"/>
    <mergeCell ref="T17:V17"/>
    <mergeCell ref="W17:X17"/>
    <mergeCell ref="A16:B16"/>
    <mergeCell ref="L16:S16"/>
    <mergeCell ref="T16:V16"/>
    <mergeCell ref="W16:X16"/>
    <mergeCell ref="Y17:Z17"/>
    <mergeCell ref="Y16:Z16"/>
    <mergeCell ref="AA15:AB15"/>
    <mergeCell ref="AH15:AI15"/>
    <mergeCell ref="AJ15:AK15"/>
    <mergeCell ref="AL15:AN15"/>
    <mergeCell ref="AO15:AY15"/>
    <mergeCell ref="AA14:AB14"/>
    <mergeCell ref="AH14:AI14"/>
    <mergeCell ref="AJ14:AK14"/>
    <mergeCell ref="AL14:AN14"/>
    <mergeCell ref="AO14:AY14"/>
    <mergeCell ref="A15:B15"/>
    <mergeCell ref="L15:S15"/>
    <mergeCell ref="T15:V15"/>
    <mergeCell ref="W15:X15"/>
    <mergeCell ref="A14:B14"/>
    <mergeCell ref="L14:S14"/>
    <mergeCell ref="T14:V14"/>
    <mergeCell ref="W14:X14"/>
    <mergeCell ref="Y15:Z15"/>
    <mergeCell ref="Y14:Z14"/>
    <mergeCell ref="AA13:AB13"/>
    <mergeCell ref="AH13:AI13"/>
    <mergeCell ref="AJ13:AK13"/>
    <mergeCell ref="AL13:AN13"/>
    <mergeCell ref="AO13:AY13"/>
    <mergeCell ref="AA12:AB12"/>
    <mergeCell ref="AH12:AI12"/>
    <mergeCell ref="AJ12:AK12"/>
    <mergeCell ref="AL12:AN12"/>
    <mergeCell ref="AO12:AY12"/>
    <mergeCell ref="A13:B13"/>
    <mergeCell ref="L13:S13"/>
    <mergeCell ref="T13:V13"/>
    <mergeCell ref="W13:X13"/>
    <mergeCell ref="A12:B12"/>
    <mergeCell ref="L12:S12"/>
    <mergeCell ref="T12:V12"/>
    <mergeCell ref="W12:X12"/>
    <mergeCell ref="Y13:Z13"/>
    <mergeCell ref="Y12:Z12"/>
    <mergeCell ref="AA10:AB10"/>
    <mergeCell ref="AC10:AG10"/>
    <mergeCell ref="AH10:AI10"/>
    <mergeCell ref="AJ10:AK11"/>
    <mergeCell ref="AL10:AN11"/>
    <mergeCell ref="AO10:AY11"/>
    <mergeCell ref="AA11:AB11"/>
    <mergeCell ref="AH11:AI11"/>
    <mergeCell ref="A10:B11"/>
    <mergeCell ref="C10:K11"/>
    <mergeCell ref="L10:S11"/>
    <mergeCell ref="T10:V11"/>
    <mergeCell ref="W10:X11"/>
    <mergeCell ref="Y10:Z11"/>
    <mergeCell ref="A6:F8"/>
    <mergeCell ref="G6:K6"/>
    <mergeCell ref="L6:AB6"/>
    <mergeCell ref="AC6:AG6"/>
    <mergeCell ref="AH6:AY6"/>
    <mergeCell ref="AX2:AY5"/>
    <mergeCell ref="G3:K3"/>
    <mergeCell ref="AI3:AK3"/>
    <mergeCell ref="AL3:AN3"/>
    <mergeCell ref="AO3:AS3"/>
    <mergeCell ref="AT3:AW3"/>
    <mergeCell ref="G4:K4"/>
    <mergeCell ref="AI4:AK5"/>
    <mergeCell ref="AL4:AN4"/>
    <mergeCell ref="AO4:AS4"/>
    <mergeCell ref="A1:F5"/>
    <mergeCell ref="G7:K7"/>
    <mergeCell ref="L7:AB7"/>
    <mergeCell ref="AC7:AG7"/>
    <mergeCell ref="AH7:AY7"/>
    <mergeCell ref="G8:K8"/>
    <mergeCell ref="L8:AB8"/>
    <mergeCell ref="AC8:AG8"/>
    <mergeCell ref="AH8:AY8"/>
    <mergeCell ref="AO1:AS1"/>
    <mergeCell ref="AT1:AW1"/>
    <mergeCell ref="AX1:AY1"/>
    <mergeCell ref="G2:K2"/>
    <mergeCell ref="AC2:AE5"/>
    <mergeCell ref="AF2:AH5"/>
    <mergeCell ref="AI2:AK2"/>
    <mergeCell ref="AL2:AN2"/>
    <mergeCell ref="AO2:AS2"/>
    <mergeCell ref="AT2:AW2"/>
    <mergeCell ref="G1:K1"/>
    <mergeCell ref="AC1:AE1"/>
    <mergeCell ref="AF1:AH1"/>
    <mergeCell ref="AI1:AK1"/>
    <mergeCell ref="AL1:AN1"/>
    <mergeCell ref="AT4:AW4"/>
    <mergeCell ref="G5:K5"/>
    <mergeCell ref="AL5:AN5"/>
    <mergeCell ref="AO5:AS5"/>
    <mergeCell ref="AT5:AW5"/>
  </mergeCells>
  <phoneticPr fontId="23"/>
  <dataValidations disablePrompts="1" count="1">
    <dataValidation type="list" allowBlank="1" showInputMessage="1" showErrorMessage="1" sqref="T54:V54 T50:T53 T12:V49" xr:uid="{73DEF2A6-C47C-4AFB-8B5B-D58F01BF42C0}">
      <formula1>型候補</formula1>
    </dataValidation>
  </dataValidations>
  <hyperlinks>
    <hyperlink ref="A1:F5" location="テーブル一覧!A1" display="テーブル一覧!A1" xr:uid="{B1822C77-B918-4DCA-A500-893B717F3F91}"/>
  </hyperlinks>
  <pageMargins left="0.70866141732283472" right="0.70866141732283472" top="0.74803149606299213" bottom="0.74803149606299213" header="0.31496062992125984" footer="0.31496062992125984"/>
  <pageSetup paperSize="9" scale="83" fitToHeight="0" orientation="landscape" horizontalDpi="4294967294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32CBD-C25B-47DA-9BDC-D537BDFCDB29}">
  <sheetPr codeName="Sheet41">
    <pageSetUpPr fitToPage="1"/>
  </sheetPr>
  <dimension ref="A1:AY54"/>
  <sheetViews>
    <sheetView view="pageBreakPreview" zoomScaleNormal="100" zoomScaleSheetLayoutView="100" workbookViewId="0">
      <selection sqref="A1:F5"/>
    </sheetView>
  </sheetViews>
  <sheetFormatPr defaultColWidth="3.83203125" defaultRowHeight="12"/>
  <cols>
    <col min="1" max="1" width="3.83203125" style="7" customWidth="1"/>
    <col min="2" max="3" width="3.83203125" style="8"/>
    <col min="4" max="49" width="3.83203125" style="7"/>
    <col min="50" max="50" width="4" style="7" customWidth="1"/>
    <col min="51" max="16384" width="3.83203125" style="7"/>
  </cols>
  <sheetData>
    <row r="1" spans="1:51" s="2" customFormat="1">
      <c r="A1" s="162" t="str">
        <f>L5</f>
        <v>テーブル定義書</v>
      </c>
      <c r="B1" s="163"/>
      <c r="C1" s="163"/>
      <c r="D1" s="163"/>
      <c r="E1" s="163"/>
      <c r="F1" s="164"/>
      <c r="G1" s="123" t="s">
        <v>59</v>
      </c>
      <c r="H1" s="113"/>
      <c r="I1" s="113"/>
      <c r="J1" s="113"/>
      <c r="K1" s="113"/>
      <c r="L1" s="1">
        <f>表紙!B8</f>
        <v>0</v>
      </c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24"/>
      <c r="AD1" s="124"/>
      <c r="AE1" s="124"/>
      <c r="AF1" s="124"/>
      <c r="AG1" s="124"/>
      <c r="AH1" s="124"/>
      <c r="AI1" s="113" t="s">
        <v>60</v>
      </c>
      <c r="AJ1" s="113"/>
      <c r="AK1" s="113"/>
      <c r="AL1" s="113" t="s">
        <v>61</v>
      </c>
      <c r="AM1" s="113"/>
      <c r="AN1" s="113"/>
      <c r="AO1" s="113" t="s">
        <v>62</v>
      </c>
      <c r="AP1" s="113"/>
      <c r="AQ1" s="113"/>
      <c r="AR1" s="113"/>
      <c r="AS1" s="113"/>
      <c r="AT1" s="113" t="s">
        <v>55</v>
      </c>
      <c r="AU1" s="113"/>
      <c r="AV1" s="113"/>
      <c r="AW1" s="113"/>
      <c r="AX1" s="113" t="s">
        <v>63</v>
      </c>
      <c r="AY1" s="114"/>
    </row>
    <row r="2" spans="1:51" s="2" customFormat="1">
      <c r="A2" s="165"/>
      <c r="B2" s="166"/>
      <c r="C2" s="166"/>
      <c r="D2" s="166"/>
      <c r="E2" s="166"/>
      <c r="F2" s="167"/>
      <c r="G2" s="115" t="s">
        <v>64</v>
      </c>
      <c r="H2" s="116"/>
      <c r="I2" s="116"/>
      <c r="J2" s="116"/>
      <c r="K2" s="116"/>
      <c r="L2" s="3">
        <f>表紙!M8</f>
        <v>0</v>
      </c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117"/>
      <c r="AD2" s="117"/>
      <c r="AE2" s="117"/>
      <c r="AF2" s="117"/>
      <c r="AG2" s="117"/>
      <c r="AH2" s="117"/>
      <c r="AI2" s="119" t="s">
        <v>65</v>
      </c>
      <c r="AJ2" s="119"/>
      <c r="AK2" s="119"/>
      <c r="AL2" s="120" t="s">
        <v>73</v>
      </c>
      <c r="AM2" s="120"/>
      <c r="AN2" s="120"/>
      <c r="AO2" s="121"/>
      <c r="AP2" s="121"/>
      <c r="AQ2" s="122"/>
      <c r="AR2" s="122"/>
      <c r="AS2" s="122"/>
      <c r="AT2" s="122"/>
      <c r="AU2" s="122"/>
      <c r="AV2" s="122"/>
      <c r="AW2" s="122"/>
      <c r="AX2" s="150" t="s">
        <v>74</v>
      </c>
      <c r="AY2" s="151"/>
    </row>
    <row r="3" spans="1:51" s="2" customFormat="1">
      <c r="A3" s="165"/>
      <c r="B3" s="166"/>
      <c r="C3" s="166"/>
      <c r="D3" s="166"/>
      <c r="E3" s="166"/>
      <c r="F3" s="167"/>
      <c r="G3" s="154" t="s">
        <v>66</v>
      </c>
      <c r="H3" s="119"/>
      <c r="I3" s="119"/>
      <c r="J3" s="119"/>
      <c r="K3" s="119"/>
      <c r="L3" s="4" t="s">
        <v>76</v>
      </c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117"/>
      <c r="AD3" s="117"/>
      <c r="AE3" s="117"/>
      <c r="AF3" s="117"/>
      <c r="AG3" s="117"/>
      <c r="AH3" s="117"/>
      <c r="AI3" s="155" t="s">
        <v>67</v>
      </c>
      <c r="AJ3" s="155"/>
      <c r="AK3" s="155"/>
      <c r="AL3" s="156"/>
      <c r="AM3" s="156"/>
      <c r="AN3" s="156"/>
      <c r="AO3" s="157" t="str">
        <f>IF( $AL3 &lt;&gt; "", VLOOKUP( $AL3, 表紙!$B$15:$AE$47, 5, FALSE ), "" )</f>
        <v/>
      </c>
      <c r="AP3" s="157"/>
      <c r="AQ3" s="158"/>
      <c r="AR3" s="158"/>
      <c r="AS3" s="158"/>
      <c r="AT3" s="158" t="str">
        <f>IF( $AL3 &lt;&gt; "", VLOOKUP( $AL3, 表紙!$B$15:$AE$47, 28, FALSE ), "" )</f>
        <v/>
      </c>
      <c r="AU3" s="158"/>
      <c r="AV3" s="158"/>
      <c r="AW3" s="158"/>
      <c r="AX3" s="150"/>
      <c r="AY3" s="151"/>
    </row>
    <row r="4" spans="1:51" s="2" customFormat="1">
      <c r="A4" s="165"/>
      <c r="B4" s="166"/>
      <c r="C4" s="166"/>
      <c r="D4" s="166"/>
      <c r="E4" s="166"/>
      <c r="F4" s="167"/>
      <c r="G4" s="159" t="s">
        <v>75</v>
      </c>
      <c r="H4" s="155"/>
      <c r="I4" s="155"/>
      <c r="J4" s="155"/>
      <c r="K4" s="15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117"/>
      <c r="AD4" s="117"/>
      <c r="AE4" s="117"/>
      <c r="AF4" s="117"/>
      <c r="AG4" s="117"/>
      <c r="AH4" s="117"/>
      <c r="AI4" s="155" t="s">
        <v>68</v>
      </c>
      <c r="AJ4" s="155"/>
      <c r="AK4" s="155"/>
      <c r="AL4" s="156"/>
      <c r="AM4" s="156"/>
      <c r="AN4" s="156"/>
      <c r="AO4" s="160"/>
      <c r="AP4" s="160"/>
      <c r="AQ4" s="161"/>
      <c r="AR4" s="161"/>
      <c r="AS4" s="161"/>
      <c r="AT4" s="125"/>
      <c r="AU4" s="125"/>
      <c r="AV4" s="125"/>
      <c r="AW4" s="125"/>
      <c r="AX4" s="150"/>
      <c r="AY4" s="151"/>
    </row>
    <row r="5" spans="1:51" s="2" customFormat="1" ht="12.75" thickBot="1">
      <c r="A5" s="168"/>
      <c r="B5" s="169"/>
      <c r="C5" s="169"/>
      <c r="D5" s="169"/>
      <c r="E5" s="169"/>
      <c r="F5" s="170"/>
      <c r="G5" s="126" t="s">
        <v>0</v>
      </c>
      <c r="H5" s="127"/>
      <c r="I5" s="127"/>
      <c r="J5" s="127"/>
      <c r="K5" s="127"/>
      <c r="L5" s="6" t="s">
        <v>87</v>
      </c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118"/>
      <c r="AD5" s="118"/>
      <c r="AE5" s="118"/>
      <c r="AF5" s="118"/>
      <c r="AG5" s="118"/>
      <c r="AH5" s="118"/>
      <c r="AI5" s="127"/>
      <c r="AJ5" s="127"/>
      <c r="AK5" s="127"/>
      <c r="AL5" s="128"/>
      <c r="AM5" s="128"/>
      <c r="AN5" s="128"/>
      <c r="AO5" s="129"/>
      <c r="AP5" s="129"/>
      <c r="AQ5" s="130"/>
      <c r="AR5" s="130"/>
      <c r="AS5" s="130"/>
      <c r="AT5" s="131"/>
      <c r="AU5" s="131"/>
      <c r="AV5" s="131"/>
      <c r="AW5" s="131"/>
      <c r="AX5" s="152"/>
      <c r="AY5" s="153"/>
    </row>
    <row r="6" spans="1:51" s="2" customFormat="1">
      <c r="A6" s="132" t="s">
        <v>1</v>
      </c>
      <c r="B6" s="133"/>
      <c r="C6" s="133"/>
      <c r="D6" s="133"/>
      <c r="E6" s="133"/>
      <c r="F6" s="134"/>
      <c r="G6" s="141" t="s">
        <v>10</v>
      </c>
      <c r="H6" s="142"/>
      <c r="I6" s="142"/>
      <c r="J6" s="142"/>
      <c r="K6" s="142"/>
      <c r="L6" s="143"/>
      <c r="M6" s="144"/>
      <c r="N6" s="144"/>
      <c r="O6" s="144"/>
      <c r="P6" s="144"/>
      <c r="Q6" s="144"/>
      <c r="R6" s="144"/>
      <c r="S6" s="144"/>
      <c r="T6" s="144"/>
      <c r="U6" s="144"/>
      <c r="V6" s="144"/>
      <c r="W6" s="144"/>
      <c r="X6" s="144"/>
      <c r="Y6" s="144"/>
      <c r="Z6" s="144"/>
      <c r="AA6" s="144"/>
      <c r="AB6" s="145"/>
      <c r="AC6" s="146" t="s">
        <v>14</v>
      </c>
      <c r="AD6" s="142"/>
      <c r="AE6" s="142"/>
      <c r="AF6" s="142"/>
      <c r="AG6" s="142"/>
      <c r="AH6" s="147" t="s">
        <v>79</v>
      </c>
      <c r="AI6" s="148"/>
      <c r="AJ6" s="148"/>
      <c r="AK6" s="148"/>
      <c r="AL6" s="148"/>
      <c r="AM6" s="148"/>
      <c r="AN6" s="148"/>
      <c r="AO6" s="148"/>
      <c r="AP6" s="148"/>
      <c r="AQ6" s="148"/>
      <c r="AR6" s="148"/>
      <c r="AS6" s="148"/>
      <c r="AT6" s="148"/>
      <c r="AU6" s="148"/>
      <c r="AV6" s="148"/>
      <c r="AW6" s="148"/>
      <c r="AX6" s="148"/>
      <c r="AY6" s="149"/>
    </row>
    <row r="7" spans="1:51" s="2" customFormat="1">
      <c r="A7" s="135"/>
      <c r="B7" s="136"/>
      <c r="C7" s="136"/>
      <c r="D7" s="136"/>
      <c r="E7" s="136"/>
      <c r="F7" s="137"/>
      <c r="G7" s="171" t="s">
        <v>11</v>
      </c>
      <c r="H7" s="155"/>
      <c r="I7" s="155"/>
      <c r="J7" s="155"/>
      <c r="K7" s="155"/>
      <c r="L7" s="172" t="s">
        <v>143</v>
      </c>
      <c r="M7" s="173"/>
      <c r="N7" s="173"/>
      <c r="O7" s="173"/>
      <c r="P7" s="173"/>
      <c r="Q7" s="173"/>
      <c r="R7" s="173"/>
      <c r="S7" s="173"/>
      <c r="T7" s="173"/>
      <c r="U7" s="173"/>
      <c r="V7" s="173"/>
      <c r="W7" s="173"/>
      <c r="X7" s="173"/>
      <c r="Y7" s="173"/>
      <c r="Z7" s="173"/>
      <c r="AA7" s="173"/>
      <c r="AB7" s="174"/>
      <c r="AC7" s="159" t="s">
        <v>13</v>
      </c>
      <c r="AD7" s="155"/>
      <c r="AE7" s="155"/>
      <c r="AF7" s="155"/>
      <c r="AG7" s="155"/>
      <c r="AH7" s="172" t="s">
        <v>143</v>
      </c>
      <c r="AI7" s="173"/>
      <c r="AJ7" s="173"/>
      <c r="AK7" s="173"/>
      <c r="AL7" s="173"/>
      <c r="AM7" s="173"/>
      <c r="AN7" s="173"/>
      <c r="AO7" s="173"/>
      <c r="AP7" s="173"/>
      <c r="AQ7" s="173"/>
      <c r="AR7" s="173"/>
      <c r="AS7" s="173"/>
      <c r="AT7" s="173"/>
      <c r="AU7" s="173"/>
      <c r="AV7" s="173"/>
      <c r="AW7" s="173"/>
      <c r="AX7" s="173"/>
      <c r="AY7" s="174"/>
    </row>
    <row r="8" spans="1:51" s="2" customFormat="1" ht="12.75" thickBot="1">
      <c r="A8" s="138"/>
      <c r="B8" s="139"/>
      <c r="C8" s="139"/>
      <c r="D8" s="139"/>
      <c r="E8" s="139"/>
      <c r="F8" s="140"/>
      <c r="G8" s="175" t="s">
        <v>12</v>
      </c>
      <c r="H8" s="176"/>
      <c r="I8" s="176"/>
      <c r="J8" s="176"/>
      <c r="K8" s="176"/>
      <c r="L8" s="177" t="s">
        <v>210</v>
      </c>
      <c r="M8" s="178"/>
      <c r="N8" s="178"/>
      <c r="O8" s="178"/>
      <c r="P8" s="178"/>
      <c r="Q8" s="178"/>
      <c r="R8" s="178"/>
      <c r="S8" s="178"/>
      <c r="T8" s="178"/>
      <c r="U8" s="178"/>
      <c r="V8" s="178"/>
      <c r="W8" s="178"/>
      <c r="X8" s="178"/>
      <c r="Y8" s="178"/>
      <c r="Z8" s="178"/>
      <c r="AA8" s="178"/>
      <c r="AB8" s="179"/>
      <c r="AC8" s="180" t="s">
        <v>33</v>
      </c>
      <c r="AD8" s="176"/>
      <c r="AE8" s="176"/>
      <c r="AF8" s="176"/>
      <c r="AG8" s="176"/>
      <c r="AH8" s="177" t="str">
        <f ca="1">RIGHT(CELL("filename",A1),LEN(CELL("filename",A1))-FIND("]",CELL("filename",A1)))</f>
        <v>t_売上</v>
      </c>
      <c r="AI8" s="178"/>
      <c r="AJ8" s="178"/>
      <c r="AK8" s="178"/>
      <c r="AL8" s="178"/>
      <c r="AM8" s="178"/>
      <c r="AN8" s="178"/>
      <c r="AO8" s="178"/>
      <c r="AP8" s="178"/>
      <c r="AQ8" s="178"/>
      <c r="AR8" s="178"/>
      <c r="AS8" s="178"/>
      <c r="AT8" s="178"/>
      <c r="AU8" s="178"/>
      <c r="AV8" s="178"/>
      <c r="AW8" s="178"/>
      <c r="AX8" s="178"/>
      <c r="AY8" s="179"/>
    </row>
    <row r="10" spans="1:51">
      <c r="A10" s="181" t="s">
        <v>15</v>
      </c>
      <c r="B10" s="181"/>
      <c r="C10" s="181" t="s">
        <v>17</v>
      </c>
      <c r="D10" s="181"/>
      <c r="E10" s="181"/>
      <c r="F10" s="181"/>
      <c r="G10" s="181"/>
      <c r="H10" s="181"/>
      <c r="I10" s="181"/>
      <c r="J10" s="181"/>
      <c r="K10" s="181"/>
      <c r="L10" s="183" t="s">
        <v>18</v>
      </c>
      <c r="M10" s="184"/>
      <c r="N10" s="184"/>
      <c r="O10" s="184"/>
      <c r="P10" s="184"/>
      <c r="Q10" s="184"/>
      <c r="R10" s="184"/>
      <c r="S10" s="185"/>
      <c r="T10" s="184" t="s">
        <v>16</v>
      </c>
      <c r="U10" s="184"/>
      <c r="V10" s="185"/>
      <c r="W10" s="181" t="s">
        <v>28</v>
      </c>
      <c r="X10" s="181"/>
      <c r="Y10" s="181" t="s">
        <v>29</v>
      </c>
      <c r="Z10" s="181"/>
      <c r="AA10" s="181" t="s">
        <v>25</v>
      </c>
      <c r="AB10" s="181"/>
      <c r="AC10" s="181" t="s">
        <v>26</v>
      </c>
      <c r="AD10" s="181"/>
      <c r="AE10" s="181"/>
      <c r="AF10" s="181"/>
      <c r="AG10" s="181"/>
      <c r="AH10" s="181" t="s">
        <v>27</v>
      </c>
      <c r="AI10" s="181"/>
      <c r="AJ10" s="182" t="s">
        <v>30</v>
      </c>
      <c r="AK10" s="181"/>
      <c r="AL10" s="181" t="s">
        <v>31</v>
      </c>
      <c r="AM10" s="181"/>
      <c r="AN10" s="181"/>
      <c r="AO10" s="181" t="s">
        <v>32</v>
      </c>
      <c r="AP10" s="181"/>
      <c r="AQ10" s="181"/>
      <c r="AR10" s="181"/>
      <c r="AS10" s="181"/>
      <c r="AT10" s="181"/>
      <c r="AU10" s="181"/>
      <c r="AV10" s="181"/>
      <c r="AW10" s="181"/>
      <c r="AX10" s="181"/>
      <c r="AY10" s="181"/>
    </row>
    <row r="11" spans="1:51">
      <c r="A11" s="181"/>
      <c r="B11" s="181"/>
      <c r="C11" s="181"/>
      <c r="D11" s="181"/>
      <c r="E11" s="181"/>
      <c r="F11" s="181"/>
      <c r="G11" s="181"/>
      <c r="H11" s="181"/>
      <c r="I11" s="181"/>
      <c r="J11" s="181"/>
      <c r="K11" s="181"/>
      <c r="L11" s="186"/>
      <c r="M11" s="187"/>
      <c r="N11" s="187"/>
      <c r="O11" s="187"/>
      <c r="P11" s="187"/>
      <c r="Q11" s="187"/>
      <c r="R11" s="187"/>
      <c r="S11" s="188"/>
      <c r="T11" s="187"/>
      <c r="U11" s="187"/>
      <c r="V11" s="188"/>
      <c r="W11" s="181"/>
      <c r="X11" s="181"/>
      <c r="Y11" s="181"/>
      <c r="Z11" s="181"/>
      <c r="AA11" s="181" t="s">
        <v>24</v>
      </c>
      <c r="AB11" s="181"/>
      <c r="AC11" s="9" t="s">
        <v>19</v>
      </c>
      <c r="AD11" s="9" t="s">
        <v>20</v>
      </c>
      <c r="AE11" s="9" t="s">
        <v>21</v>
      </c>
      <c r="AF11" s="9" t="s">
        <v>22</v>
      </c>
      <c r="AG11" s="9" t="s">
        <v>23</v>
      </c>
      <c r="AH11" s="181" t="s">
        <v>24</v>
      </c>
      <c r="AI11" s="181"/>
      <c r="AJ11" s="181"/>
      <c r="AK11" s="181"/>
      <c r="AL11" s="181"/>
      <c r="AM11" s="181"/>
      <c r="AN11" s="181"/>
      <c r="AO11" s="181"/>
      <c r="AP11" s="181"/>
      <c r="AQ11" s="181"/>
      <c r="AR11" s="181"/>
      <c r="AS11" s="181"/>
      <c r="AT11" s="181"/>
      <c r="AU11" s="181"/>
      <c r="AV11" s="181"/>
      <c r="AW11" s="181"/>
      <c r="AX11" s="181"/>
      <c r="AY11" s="181"/>
    </row>
    <row r="12" spans="1:51">
      <c r="A12" s="189">
        <f t="shared" ref="A12:A54" si="0">ROW()-11</f>
        <v>1</v>
      </c>
      <c r="B12" s="190"/>
      <c r="C12" s="61" t="s">
        <v>82</v>
      </c>
      <c r="D12" s="59"/>
      <c r="E12" s="59"/>
      <c r="F12" s="59"/>
      <c r="G12" s="59"/>
      <c r="H12" s="59"/>
      <c r="I12" s="59"/>
      <c r="J12" s="59"/>
      <c r="K12" s="60"/>
      <c r="L12" s="191" t="s">
        <v>93</v>
      </c>
      <c r="M12" s="192"/>
      <c r="N12" s="192"/>
      <c r="O12" s="192"/>
      <c r="P12" s="192"/>
      <c r="Q12" s="192"/>
      <c r="R12" s="192"/>
      <c r="S12" s="193"/>
      <c r="T12" s="194" t="s">
        <v>41</v>
      </c>
      <c r="U12" s="195"/>
      <c r="V12" s="196"/>
      <c r="W12" s="197" t="s">
        <v>43</v>
      </c>
      <c r="X12" s="198"/>
      <c r="Y12" s="197">
        <v>8</v>
      </c>
      <c r="Z12" s="198"/>
      <c r="AA12" s="197"/>
      <c r="AB12" s="198"/>
      <c r="AC12" s="47"/>
      <c r="AD12" s="22"/>
      <c r="AE12" s="22"/>
      <c r="AF12" s="22"/>
      <c r="AG12" s="49"/>
      <c r="AH12" s="197"/>
      <c r="AI12" s="198"/>
      <c r="AJ12" s="199"/>
      <c r="AK12" s="200"/>
      <c r="AL12" s="197"/>
      <c r="AM12" s="201"/>
      <c r="AN12" s="198"/>
      <c r="AO12" s="192"/>
      <c r="AP12" s="192"/>
      <c r="AQ12" s="192"/>
      <c r="AR12" s="192"/>
      <c r="AS12" s="192"/>
      <c r="AT12" s="192"/>
      <c r="AU12" s="192"/>
      <c r="AV12" s="192"/>
      <c r="AW12" s="192"/>
      <c r="AX12" s="192"/>
      <c r="AY12" s="193"/>
    </row>
    <row r="13" spans="1:51">
      <c r="A13" s="189">
        <f t="shared" si="0"/>
        <v>2</v>
      </c>
      <c r="B13" s="190"/>
      <c r="C13" s="61" t="s">
        <v>83</v>
      </c>
      <c r="D13" s="59"/>
      <c r="E13" s="59"/>
      <c r="F13" s="59"/>
      <c r="G13" s="59"/>
      <c r="H13" s="59"/>
      <c r="I13" s="59"/>
      <c r="J13" s="59"/>
      <c r="K13" s="60"/>
      <c r="L13" s="191" t="s">
        <v>94</v>
      </c>
      <c r="M13" s="192"/>
      <c r="N13" s="192"/>
      <c r="O13" s="192"/>
      <c r="P13" s="192"/>
      <c r="Q13" s="192"/>
      <c r="R13" s="192"/>
      <c r="S13" s="193"/>
      <c r="T13" s="194" t="s">
        <v>40</v>
      </c>
      <c r="U13" s="195"/>
      <c r="V13" s="196"/>
      <c r="W13" s="197">
        <v>60</v>
      </c>
      <c r="X13" s="198"/>
      <c r="Y13" s="197">
        <v>60</v>
      </c>
      <c r="Z13" s="198"/>
      <c r="AA13" s="197"/>
      <c r="AB13" s="198"/>
      <c r="AC13" s="47"/>
      <c r="AD13" s="22"/>
      <c r="AE13" s="22"/>
      <c r="AF13" s="22"/>
      <c r="AG13" s="49"/>
      <c r="AH13" s="197"/>
      <c r="AI13" s="198"/>
      <c r="AJ13" s="199"/>
      <c r="AK13" s="200"/>
      <c r="AL13" s="197"/>
      <c r="AM13" s="201"/>
      <c r="AN13" s="198"/>
      <c r="AO13" s="192"/>
      <c r="AP13" s="192"/>
      <c r="AQ13" s="192"/>
      <c r="AR13" s="192"/>
      <c r="AS13" s="192"/>
      <c r="AT13" s="192"/>
      <c r="AU13" s="192"/>
      <c r="AV13" s="192"/>
      <c r="AW13" s="192"/>
      <c r="AX13" s="192"/>
      <c r="AY13" s="193"/>
    </row>
    <row r="14" spans="1:51">
      <c r="A14" s="189">
        <f t="shared" si="0"/>
        <v>3</v>
      </c>
      <c r="B14" s="190"/>
      <c r="C14" s="61" t="s">
        <v>90</v>
      </c>
      <c r="D14" s="59"/>
      <c r="E14" s="59"/>
      <c r="F14" s="59"/>
      <c r="G14" s="59"/>
      <c r="H14" s="59"/>
      <c r="I14" s="59"/>
      <c r="J14" s="59"/>
      <c r="K14" s="60"/>
      <c r="L14" s="191" t="s">
        <v>95</v>
      </c>
      <c r="M14" s="192"/>
      <c r="N14" s="192"/>
      <c r="O14" s="192"/>
      <c r="P14" s="192"/>
      <c r="Q14" s="192"/>
      <c r="R14" s="192"/>
      <c r="S14" s="193"/>
      <c r="T14" s="194" t="s">
        <v>42</v>
      </c>
      <c r="U14" s="195"/>
      <c r="V14" s="196"/>
      <c r="W14" s="197" t="s">
        <v>91</v>
      </c>
      <c r="X14" s="198"/>
      <c r="Y14" s="197">
        <v>4</v>
      </c>
      <c r="Z14" s="198"/>
      <c r="AA14" s="197"/>
      <c r="AB14" s="198"/>
      <c r="AC14" s="47"/>
      <c r="AD14" s="22"/>
      <c r="AE14" s="22"/>
      <c r="AF14" s="22"/>
      <c r="AG14" s="49"/>
      <c r="AH14" s="197"/>
      <c r="AI14" s="198"/>
      <c r="AJ14" s="199"/>
      <c r="AK14" s="200"/>
      <c r="AL14" s="197"/>
      <c r="AM14" s="201"/>
      <c r="AN14" s="198"/>
      <c r="AO14" s="192"/>
      <c r="AP14" s="192"/>
      <c r="AQ14" s="192"/>
      <c r="AR14" s="192"/>
      <c r="AS14" s="192"/>
      <c r="AT14" s="192"/>
      <c r="AU14" s="192"/>
      <c r="AV14" s="192"/>
      <c r="AW14" s="192"/>
      <c r="AX14" s="192"/>
      <c r="AY14" s="193"/>
    </row>
    <row r="15" spans="1:51">
      <c r="A15" s="189">
        <f t="shared" si="0"/>
        <v>4</v>
      </c>
      <c r="B15" s="190"/>
      <c r="C15" s="61" t="s">
        <v>84</v>
      </c>
      <c r="D15" s="59"/>
      <c r="E15" s="59"/>
      <c r="F15" s="59"/>
      <c r="G15" s="59"/>
      <c r="H15" s="59"/>
      <c r="I15" s="59"/>
      <c r="J15" s="59"/>
      <c r="K15" s="60"/>
      <c r="L15" s="191" t="s">
        <v>96</v>
      </c>
      <c r="M15" s="192"/>
      <c r="N15" s="192"/>
      <c r="O15" s="192"/>
      <c r="P15" s="192"/>
      <c r="Q15" s="192"/>
      <c r="R15" s="192"/>
      <c r="S15" s="193"/>
      <c r="T15" s="194" t="s">
        <v>41</v>
      </c>
      <c r="U15" s="195"/>
      <c r="V15" s="196"/>
      <c r="W15" s="197" t="s">
        <v>43</v>
      </c>
      <c r="X15" s="198"/>
      <c r="Y15" s="197">
        <v>8</v>
      </c>
      <c r="Z15" s="198"/>
      <c r="AA15" s="197"/>
      <c r="AB15" s="198"/>
      <c r="AC15" s="47"/>
      <c r="AD15" s="22"/>
      <c r="AE15" s="22"/>
      <c r="AF15" s="22"/>
      <c r="AG15" s="49"/>
      <c r="AH15" s="197"/>
      <c r="AI15" s="198"/>
      <c r="AJ15" s="199"/>
      <c r="AK15" s="200"/>
      <c r="AL15" s="197"/>
      <c r="AM15" s="201"/>
      <c r="AN15" s="198"/>
      <c r="AO15" s="192"/>
      <c r="AP15" s="192"/>
      <c r="AQ15" s="192"/>
      <c r="AR15" s="192"/>
      <c r="AS15" s="192"/>
      <c r="AT15" s="192"/>
      <c r="AU15" s="192"/>
      <c r="AV15" s="192"/>
      <c r="AW15" s="192"/>
      <c r="AX15" s="192"/>
      <c r="AY15" s="193"/>
    </row>
    <row r="16" spans="1:51">
      <c r="A16" s="189">
        <f t="shared" si="0"/>
        <v>5</v>
      </c>
      <c r="B16" s="190"/>
      <c r="C16" s="61" t="s">
        <v>85</v>
      </c>
      <c r="D16" s="59"/>
      <c r="E16" s="59"/>
      <c r="F16" s="59"/>
      <c r="G16" s="59"/>
      <c r="H16" s="59"/>
      <c r="I16" s="59"/>
      <c r="J16" s="59"/>
      <c r="K16" s="60"/>
      <c r="L16" s="191" t="s">
        <v>97</v>
      </c>
      <c r="M16" s="192"/>
      <c r="N16" s="192"/>
      <c r="O16" s="192"/>
      <c r="P16" s="192"/>
      <c r="Q16" s="192"/>
      <c r="R16" s="192"/>
      <c r="S16" s="193"/>
      <c r="T16" s="194" t="s">
        <v>40</v>
      </c>
      <c r="U16" s="195"/>
      <c r="V16" s="196"/>
      <c r="W16" s="197">
        <v>60</v>
      </c>
      <c r="X16" s="198"/>
      <c r="Y16" s="197">
        <v>60</v>
      </c>
      <c r="Z16" s="198"/>
      <c r="AA16" s="197"/>
      <c r="AB16" s="198"/>
      <c r="AC16" s="47"/>
      <c r="AD16" s="22"/>
      <c r="AE16" s="22"/>
      <c r="AF16" s="22"/>
      <c r="AG16" s="49"/>
      <c r="AH16" s="197"/>
      <c r="AI16" s="198"/>
      <c r="AJ16" s="199"/>
      <c r="AK16" s="200"/>
      <c r="AL16" s="197"/>
      <c r="AM16" s="201"/>
      <c r="AN16" s="198"/>
      <c r="AO16" s="192"/>
      <c r="AP16" s="192"/>
      <c r="AQ16" s="192"/>
      <c r="AR16" s="192"/>
      <c r="AS16" s="192"/>
      <c r="AT16" s="192"/>
      <c r="AU16" s="192"/>
      <c r="AV16" s="192"/>
      <c r="AW16" s="192"/>
      <c r="AX16" s="192"/>
      <c r="AY16" s="193"/>
    </row>
    <row r="17" spans="1:51">
      <c r="A17" s="189">
        <f t="shared" si="0"/>
        <v>6</v>
      </c>
      <c r="B17" s="190"/>
      <c r="C17" s="61" t="s">
        <v>92</v>
      </c>
      <c r="D17" s="59"/>
      <c r="E17" s="59"/>
      <c r="F17" s="59"/>
      <c r="G17" s="59"/>
      <c r="H17" s="59"/>
      <c r="I17" s="59"/>
      <c r="J17" s="59"/>
      <c r="K17" s="60"/>
      <c r="L17" s="191" t="s">
        <v>98</v>
      </c>
      <c r="M17" s="192"/>
      <c r="N17" s="192"/>
      <c r="O17" s="192"/>
      <c r="P17" s="192"/>
      <c r="Q17" s="192"/>
      <c r="R17" s="192"/>
      <c r="S17" s="193"/>
      <c r="T17" s="194" t="s">
        <v>42</v>
      </c>
      <c r="U17" s="195"/>
      <c r="V17" s="196"/>
      <c r="W17" s="197" t="s">
        <v>91</v>
      </c>
      <c r="X17" s="198"/>
      <c r="Y17" s="197">
        <v>4</v>
      </c>
      <c r="Z17" s="198"/>
      <c r="AA17" s="197"/>
      <c r="AB17" s="198"/>
      <c r="AC17" s="47"/>
      <c r="AD17" s="22"/>
      <c r="AE17" s="22"/>
      <c r="AF17" s="22"/>
      <c r="AG17" s="49"/>
      <c r="AH17" s="197"/>
      <c r="AI17" s="198"/>
      <c r="AJ17" s="199"/>
      <c r="AK17" s="200"/>
      <c r="AL17" s="197"/>
      <c r="AM17" s="201"/>
      <c r="AN17" s="198"/>
      <c r="AO17" s="192"/>
      <c r="AP17" s="192"/>
      <c r="AQ17" s="192"/>
      <c r="AR17" s="192"/>
      <c r="AS17" s="192"/>
      <c r="AT17" s="192"/>
      <c r="AU17" s="192"/>
      <c r="AV17" s="192"/>
      <c r="AW17" s="192"/>
      <c r="AX17" s="192"/>
      <c r="AY17" s="193"/>
    </row>
    <row r="18" spans="1:51">
      <c r="A18" s="189">
        <f t="shared" si="0"/>
        <v>7</v>
      </c>
      <c r="B18" s="190"/>
      <c r="C18" s="61" t="s">
        <v>100</v>
      </c>
      <c r="D18" s="59"/>
      <c r="E18" s="59"/>
      <c r="F18" s="59"/>
      <c r="G18" s="59"/>
      <c r="H18" s="59"/>
      <c r="I18" s="59"/>
      <c r="J18" s="59"/>
      <c r="K18" s="60"/>
      <c r="L18" s="191" t="s">
        <v>103</v>
      </c>
      <c r="M18" s="192"/>
      <c r="N18" s="192"/>
      <c r="O18" s="192"/>
      <c r="P18" s="192"/>
      <c r="Q18" s="192"/>
      <c r="R18" s="192"/>
      <c r="S18" s="193"/>
      <c r="T18" s="194" t="s">
        <v>41</v>
      </c>
      <c r="U18" s="195"/>
      <c r="V18" s="196"/>
      <c r="W18" s="197" t="s">
        <v>43</v>
      </c>
      <c r="X18" s="198"/>
      <c r="Y18" s="197">
        <v>8</v>
      </c>
      <c r="Z18" s="198"/>
      <c r="AA18" s="197"/>
      <c r="AB18" s="198"/>
      <c r="AC18" s="47"/>
      <c r="AD18" s="22"/>
      <c r="AE18" s="22"/>
      <c r="AF18" s="22"/>
      <c r="AG18" s="49"/>
      <c r="AH18" s="197"/>
      <c r="AI18" s="198"/>
      <c r="AJ18" s="199"/>
      <c r="AK18" s="200"/>
      <c r="AL18" s="197"/>
      <c r="AM18" s="201"/>
      <c r="AN18" s="198"/>
      <c r="AO18" s="192"/>
      <c r="AP18" s="192"/>
      <c r="AQ18" s="192"/>
      <c r="AR18" s="192"/>
      <c r="AS18" s="192"/>
      <c r="AT18" s="192"/>
      <c r="AU18" s="192"/>
      <c r="AV18" s="192"/>
      <c r="AW18" s="192"/>
      <c r="AX18" s="192"/>
      <c r="AY18" s="193"/>
    </row>
    <row r="19" spans="1:51">
      <c r="A19" s="189">
        <f t="shared" si="0"/>
        <v>8</v>
      </c>
      <c r="B19" s="190"/>
      <c r="C19" s="61" t="s">
        <v>101</v>
      </c>
      <c r="D19" s="59"/>
      <c r="E19" s="59"/>
      <c r="F19" s="59"/>
      <c r="G19" s="59"/>
      <c r="H19" s="59"/>
      <c r="I19" s="59"/>
      <c r="J19" s="59"/>
      <c r="K19" s="60"/>
      <c r="L19" s="191" t="s">
        <v>104</v>
      </c>
      <c r="M19" s="192"/>
      <c r="N19" s="192"/>
      <c r="O19" s="192"/>
      <c r="P19" s="192"/>
      <c r="Q19" s="192"/>
      <c r="R19" s="192"/>
      <c r="S19" s="193"/>
      <c r="T19" s="194" t="s">
        <v>40</v>
      </c>
      <c r="U19" s="195"/>
      <c r="V19" s="196"/>
      <c r="W19" s="197">
        <v>60</v>
      </c>
      <c r="X19" s="198"/>
      <c r="Y19" s="197">
        <v>60</v>
      </c>
      <c r="Z19" s="198"/>
      <c r="AA19" s="197"/>
      <c r="AB19" s="198"/>
      <c r="AC19" s="47"/>
      <c r="AD19" s="22"/>
      <c r="AE19" s="22"/>
      <c r="AF19" s="22"/>
      <c r="AG19" s="49"/>
      <c r="AH19" s="197"/>
      <c r="AI19" s="198"/>
      <c r="AJ19" s="199"/>
      <c r="AK19" s="200"/>
      <c r="AL19" s="197"/>
      <c r="AM19" s="201"/>
      <c r="AN19" s="198"/>
      <c r="AO19" s="192"/>
      <c r="AP19" s="192"/>
      <c r="AQ19" s="192"/>
      <c r="AR19" s="192"/>
      <c r="AS19" s="192"/>
      <c r="AT19" s="192"/>
      <c r="AU19" s="192"/>
      <c r="AV19" s="192"/>
      <c r="AW19" s="192"/>
      <c r="AX19" s="192"/>
      <c r="AY19" s="193"/>
    </row>
    <row r="20" spans="1:51">
      <c r="A20" s="189">
        <f t="shared" si="0"/>
        <v>9</v>
      </c>
      <c r="B20" s="190"/>
      <c r="C20" s="61" t="s">
        <v>102</v>
      </c>
      <c r="D20" s="59"/>
      <c r="E20" s="59"/>
      <c r="F20" s="59"/>
      <c r="G20" s="59"/>
      <c r="H20" s="59"/>
      <c r="I20" s="59"/>
      <c r="J20" s="59"/>
      <c r="K20" s="60"/>
      <c r="L20" s="191" t="s">
        <v>105</v>
      </c>
      <c r="M20" s="192"/>
      <c r="N20" s="192"/>
      <c r="O20" s="192"/>
      <c r="P20" s="192"/>
      <c r="Q20" s="192"/>
      <c r="R20" s="192"/>
      <c r="S20" s="193"/>
      <c r="T20" s="194" t="s">
        <v>42</v>
      </c>
      <c r="U20" s="195"/>
      <c r="V20" s="196"/>
      <c r="W20" s="197" t="s">
        <v>91</v>
      </c>
      <c r="X20" s="198"/>
      <c r="Y20" s="197">
        <v>4</v>
      </c>
      <c r="Z20" s="198"/>
      <c r="AA20" s="197"/>
      <c r="AB20" s="198"/>
      <c r="AC20" s="47"/>
      <c r="AD20" s="22"/>
      <c r="AE20" s="22"/>
      <c r="AF20" s="22"/>
      <c r="AG20" s="49"/>
      <c r="AH20" s="197"/>
      <c r="AI20" s="198"/>
      <c r="AJ20" s="199"/>
      <c r="AK20" s="200"/>
      <c r="AL20" s="197"/>
      <c r="AM20" s="201"/>
      <c r="AN20" s="198"/>
      <c r="AO20" s="192"/>
      <c r="AP20" s="192"/>
      <c r="AQ20" s="192"/>
      <c r="AR20" s="192"/>
      <c r="AS20" s="192"/>
      <c r="AT20" s="192"/>
      <c r="AU20" s="192"/>
      <c r="AV20" s="192"/>
      <c r="AW20" s="192"/>
      <c r="AX20" s="192"/>
      <c r="AY20" s="193"/>
    </row>
    <row r="21" spans="1:51">
      <c r="A21" s="189">
        <f>ROW()-11</f>
        <v>10</v>
      </c>
      <c r="B21" s="190"/>
      <c r="C21" s="61" t="s">
        <v>86</v>
      </c>
      <c r="D21" s="59"/>
      <c r="E21" s="59"/>
      <c r="F21" s="59"/>
      <c r="G21" s="59"/>
      <c r="H21" s="59"/>
      <c r="I21" s="59"/>
      <c r="J21" s="59"/>
      <c r="K21" s="60"/>
      <c r="L21" s="191" t="s">
        <v>99</v>
      </c>
      <c r="M21" s="192"/>
      <c r="N21" s="192"/>
      <c r="O21" s="192"/>
      <c r="P21" s="192"/>
      <c r="Q21" s="192"/>
      <c r="R21" s="192"/>
      <c r="S21" s="193"/>
      <c r="T21" s="194" t="s">
        <v>42</v>
      </c>
      <c r="U21" s="195"/>
      <c r="V21" s="196"/>
      <c r="W21" s="197">
        <v>1</v>
      </c>
      <c r="X21" s="198"/>
      <c r="Y21" s="197">
        <v>1</v>
      </c>
      <c r="Z21" s="198"/>
      <c r="AA21" s="197"/>
      <c r="AB21" s="198"/>
      <c r="AC21" s="47"/>
      <c r="AD21" s="22"/>
      <c r="AE21" s="22"/>
      <c r="AF21" s="22"/>
      <c r="AG21" s="49"/>
      <c r="AH21" s="197"/>
      <c r="AI21" s="198"/>
      <c r="AJ21" s="199"/>
      <c r="AK21" s="200"/>
      <c r="AL21" s="197">
        <v>0</v>
      </c>
      <c r="AM21" s="201"/>
      <c r="AN21" s="198"/>
      <c r="AO21" s="192" t="s">
        <v>44</v>
      </c>
      <c r="AP21" s="192"/>
      <c r="AQ21" s="192"/>
      <c r="AR21" s="192"/>
      <c r="AS21" s="192"/>
      <c r="AT21" s="192"/>
      <c r="AU21" s="192"/>
      <c r="AV21" s="192"/>
      <c r="AW21" s="192"/>
      <c r="AX21" s="192"/>
      <c r="AY21" s="193"/>
    </row>
    <row r="22" spans="1:51">
      <c r="A22" s="202">
        <f t="shared" si="0"/>
        <v>11</v>
      </c>
      <c r="B22" s="204"/>
      <c r="C22" s="48" t="s">
        <v>173</v>
      </c>
      <c r="D22" s="42"/>
      <c r="E22" s="42"/>
      <c r="F22" s="42"/>
      <c r="G22" s="42"/>
      <c r="H22" s="42"/>
      <c r="I22" s="42"/>
      <c r="J22" s="42"/>
      <c r="K22" s="44"/>
      <c r="L22" s="48" t="s">
        <v>173</v>
      </c>
      <c r="M22" s="42"/>
      <c r="N22" s="42"/>
      <c r="O22" s="42"/>
      <c r="P22" s="42"/>
      <c r="Q22" s="42"/>
      <c r="R22" s="42"/>
      <c r="S22" s="44"/>
      <c r="T22" s="207" t="s">
        <v>42</v>
      </c>
      <c r="U22" s="208"/>
      <c r="V22" s="209"/>
      <c r="W22" s="220" t="s">
        <v>209</v>
      </c>
      <c r="X22" s="221"/>
      <c r="Y22" s="220">
        <v>10</v>
      </c>
      <c r="Z22" s="221"/>
      <c r="AA22" s="215">
        <v>1</v>
      </c>
      <c r="AB22" s="216"/>
      <c r="AC22" s="46"/>
      <c r="AD22" s="24"/>
      <c r="AE22" s="24"/>
      <c r="AF22" s="24"/>
      <c r="AG22" s="51"/>
      <c r="AH22" s="215"/>
      <c r="AI22" s="216"/>
      <c r="AJ22" s="212" t="s">
        <v>128</v>
      </c>
      <c r="AK22" s="213"/>
      <c r="AL22" s="215"/>
      <c r="AM22" s="217"/>
      <c r="AN22" s="216"/>
      <c r="AO22" s="205"/>
      <c r="AP22" s="205"/>
      <c r="AQ22" s="205"/>
      <c r="AR22" s="205"/>
      <c r="AS22" s="205"/>
      <c r="AT22" s="205"/>
      <c r="AU22" s="205"/>
      <c r="AV22" s="205"/>
      <c r="AW22" s="205"/>
      <c r="AX22" s="205"/>
      <c r="AY22" s="206"/>
    </row>
    <row r="23" spans="1:51">
      <c r="A23" s="202">
        <f t="shared" si="0"/>
        <v>12</v>
      </c>
      <c r="B23" s="204"/>
      <c r="C23" s="48" t="s">
        <v>174</v>
      </c>
      <c r="D23" s="42"/>
      <c r="E23" s="42"/>
      <c r="F23" s="42"/>
      <c r="G23" s="42"/>
      <c r="H23" s="42"/>
      <c r="I23" s="42"/>
      <c r="J23" s="42"/>
      <c r="K23" s="44"/>
      <c r="L23" s="48" t="s">
        <v>174</v>
      </c>
      <c r="M23" s="42"/>
      <c r="N23" s="42"/>
      <c r="O23" s="42"/>
      <c r="P23" s="42"/>
      <c r="Q23" s="42"/>
      <c r="R23" s="42"/>
      <c r="S23" s="44"/>
      <c r="T23" s="207" t="s">
        <v>40</v>
      </c>
      <c r="U23" s="208"/>
      <c r="V23" s="209"/>
      <c r="W23" s="202">
        <v>10</v>
      </c>
      <c r="X23" s="204"/>
      <c r="Y23" s="202">
        <v>10</v>
      </c>
      <c r="Z23" s="204"/>
      <c r="AA23" s="202"/>
      <c r="AB23" s="204"/>
      <c r="AC23" s="46"/>
      <c r="AD23" s="24"/>
      <c r="AE23" s="24"/>
      <c r="AF23" s="24"/>
      <c r="AG23" s="51"/>
      <c r="AH23" s="202"/>
      <c r="AI23" s="204"/>
      <c r="AJ23" s="212"/>
      <c r="AK23" s="213"/>
      <c r="AL23" s="202"/>
      <c r="AM23" s="203"/>
      <c r="AN23" s="204"/>
      <c r="AO23" s="205"/>
      <c r="AP23" s="205"/>
      <c r="AQ23" s="205"/>
      <c r="AR23" s="205"/>
      <c r="AS23" s="205"/>
      <c r="AT23" s="205"/>
      <c r="AU23" s="205"/>
      <c r="AV23" s="205"/>
      <c r="AW23" s="205"/>
      <c r="AX23" s="205"/>
      <c r="AY23" s="206"/>
    </row>
    <row r="24" spans="1:51">
      <c r="A24" s="202">
        <f t="shared" si="0"/>
        <v>13</v>
      </c>
      <c r="B24" s="204"/>
      <c r="C24" s="48" t="s">
        <v>175</v>
      </c>
      <c r="D24" s="42"/>
      <c r="E24" s="42"/>
      <c r="F24" s="42"/>
      <c r="G24" s="42"/>
      <c r="H24" s="42"/>
      <c r="I24" s="42"/>
      <c r="J24" s="42"/>
      <c r="K24" s="44"/>
      <c r="L24" s="48" t="s">
        <v>175</v>
      </c>
      <c r="M24" s="42"/>
      <c r="N24" s="42"/>
      <c r="O24" s="42"/>
      <c r="P24" s="42"/>
      <c r="Q24" s="42"/>
      <c r="R24" s="42"/>
      <c r="S24" s="44"/>
      <c r="T24" s="207" t="s">
        <v>40</v>
      </c>
      <c r="U24" s="208"/>
      <c r="V24" s="209"/>
      <c r="W24" s="202">
        <v>10</v>
      </c>
      <c r="X24" s="204"/>
      <c r="Y24" s="202">
        <v>10</v>
      </c>
      <c r="Z24" s="204"/>
      <c r="AA24" s="202"/>
      <c r="AB24" s="204"/>
      <c r="AC24" s="46"/>
      <c r="AD24" s="24"/>
      <c r="AE24" s="24"/>
      <c r="AF24" s="24"/>
      <c r="AG24" s="51"/>
      <c r="AH24" s="202"/>
      <c r="AI24" s="204"/>
      <c r="AJ24" s="100"/>
      <c r="AK24" s="102"/>
      <c r="AL24" s="202"/>
      <c r="AM24" s="203"/>
      <c r="AN24" s="204"/>
      <c r="AO24" s="205"/>
      <c r="AP24" s="205"/>
      <c r="AQ24" s="205"/>
      <c r="AR24" s="205"/>
      <c r="AS24" s="205"/>
      <c r="AT24" s="205"/>
      <c r="AU24" s="205"/>
      <c r="AV24" s="205"/>
      <c r="AW24" s="205"/>
      <c r="AX24" s="205"/>
      <c r="AY24" s="206"/>
    </row>
    <row r="25" spans="1:51">
      <c r="A25" s="202">
        <f t="shared" si="0"/>
        <v>14</v>
      </c>
      <c r="B25" s="204"/>
      <c r="C25" s="48" t="s">
        <v>176</v>
      </c>
      <c r="D25" s="42"/>
      <c r="E25" s="42"/>
      <c r="F25" s="42"/>
      <c r="G25" s="42"/>
      <c r="H25" s="42"/>
      <c r="I25" s="42"/>
      <c r="J25" s="42"/>
      <c r="K25" s="44"/>
      <c r="L25" s="48" t="s">
        <v>176</v>
      </c>
      <c r="M25" s="42"/>
      <c r="N25" s="42"/>
      <c r="O25" s="42"/>
      <c r="P25" s="42"/>
      <c r="Q25" s="42"/>
      <c r="R25" s="42"/>
      <c r="S25" s="44"/>
      <c r="T25" s="207" t="s">
        <v>40</v>
      </c>
      <c r="U25" s="208"/>
      <c r="V25" s="209"/>
      <c r="W25" s="202">
        <v>10</v>
      </c>
      <c r="X25" s="204"/>
      <c r="Y25" s="202">
        <v>10</v>
      </c>
      <c r="Z25" s="204"/>
      <c r="AA25" s="202"/>
      <c r="AB25" s="204"/>
      <c r="AC25" s="45"/>
      <c r="AD25" s="23"/>
      <c r="AE25" s="23"/>
      <c r="AF25" s="23"/>
      <c r="AG25" s="50"/>
      <c r="AH25" s="202"/>
      <c r="AI25" s="204"/>
      <c r="AJ25" s="100"/>
      <c r="AK25" s="102"/>
      <c r="AL25" s="202"/>
      <c r="AM25" s="203"/>
      <c r="AN25" s="204"/>
      <c r="AO25" s="205"/>
      <c r="AP25" s="205"/>
      <c r="AQ25" s="205"/>
      <c r="AR25" s="205"/>
      <c r="AS25" s="205"/>
      <c r="AT25" s="205"/>
      <c r="AU25" s="205"/>
      <c r="AV25" s="205"/>
      <c r="AW25" s="205"/>
      <c r="AX25" s="205"/>
      <c r="AY25" s="206"/>
    </row>
    <row r="26" spans="1:51">
      <c r="A26" s="202">
        <f t="shared" si="0"/>
        <v>15</v>
      </c>
      <c r="B26" s="204"/>
      <c r="C26" s="48" t="s">
        <v>177</v>
      </c>
      <c r="D26" s="42"/>
      <c r="E26" s="42"/>
      <c r="F26" s="42"/>
      <c r="G26" s="42"/>
      <c r="H26" s="42"/>
      <c r="I26" s="42"/>
      <c r="J26" s="42"/>
      <c r="K26" s="44"/>
      <c r="L26" s="48" t="s">
        <v>177</v>
      </c>
      <c r="M26" s="42"/>
      <c r="N26" s="42"/>
      <c r="O26" s="42"/>
      <c r="P26" s="42"/>
      <c r="Q26" s="42"/>
      <c r="R26" s="42"/>
      <c r="S26" s="44"/>
      <c r="T26" s="207" t="s">
        <v>42</v>
      </c>
      <c r="U26" s="208"/>
      <c r="V26" s="209"/>
      <c r="W26" s="202" t="s">
        <v>187</v>
      </c>
      <c r="X26" s="204"/>
      <c r="Y26" s="202">
        <v>8</v>
      </c>
      <c r="Z26" s="204"/>
      <c r="AA26" s="215"/>
      <c r="AB26" s="216"/>
      <c r="AC26" s="46"/>
      <c r="AD26" s="24"/>
      <c r="AE26" s="24"/>
      <c r="AF26" s="24"/>
      <c r="AG26" s="51"/>
      <c r="AH26" s="215"/>
      <c r="AI26" s="216"/>
      <c r="AJ26" s="100"/>
      <c r="AK26" s="102"/>
      <c r="AL26" s="215"/>
      <c r="AM26" s="217"/>
      <c r="AN26" s="216"/>
      <c r="AO26" s="205"/>
      <c r="AP26" s="205"/>
      <c r="AQ26" s="205"/>
      <c r="AR26" s="205"/>
      <c r="AS26" s="205"/>
      <c r="AT26" s="205"/>
      <c r="AU26" s="205"/>
      <c r="AV26" s="205"/>
      <c r="AW26" s="205"/>
      <c r="AX26" s="205"/>
      <c r="AY26" s="206"/>
    </row>
    <row r="27" spans="1:51">
      <c r="A27" s="218">
        <f t="shared" si="0"/>
        <v>16</v>
      </c>
      <c r="B27" s="219"/>
      <c r="C27" s="48" t="s">
        <v>207</v>
      </c>
      <c r="D27" s="42"/>
      <c r="E27" s="42"/>
      <c r="F27" s="42"/>
      <c r="G27" s="42"/>
      <c r="H27" s="42"/>
      <c r="I27" s="42"/>
      <c r="J27" s="42"/>
      <c r="K27" s="44"/>
      <c r="L27" s="48" t="s">
        <v>207</v>
      </c>
      <c r="M27" s="42"/>
      <c r="N27" s="42"/>
      <c r="O27" s="42"/>
      <c r="P27" s="42"/>
      <c r="Q27" s="42"/>
      <c r="R27" s="42"/>
      <c r="S27" s="44"/>
      <c r="T27" s="207" t="s">
        <v>42</v>
      </c>
      <c r="U27" s="208"/>
      <c r="V27" s="209"/>
      <c r="W27" s="202" t="s">
        <v>127</v>
      </c>
      <c r="X27" s="204"/>
      <c r="Y27" s="202">
        <v>2</v>
      </c>
      <c r="Z27" s="204"/>
      <c r="AA27" s="220">
        <v>2</v>
      </c>
      <c r="AB27" s="221"/>
      <c r="AC27" s="45"/>
      <c r="AD27" s="23"/>
      <c r="AE27" s="23"/>
      <c r="AF27" s="23"/>
      <c r="AG27" s="50"/>
      <c r="AH27" s="220"/>
      <c r="AI27" s="221"/>
      <c r="AJ27" s="212" t="s">
        <v>128</v>
      </c>
      <c r="AK27" s="213"/>
      <c r="AL27" s="220"/>
      <c r="AM27" s="222"/>
      <c r="AN27" s="221"/>
      <c r="AO27" s="205"/>
      <c r="AP27" s="205"/>
      <c r="AQ27" s="205"/>
      <c r="AR27" s="205"/>
      <c r="AS27" s="205"/>
      <c r="AT27" s="205"/>
      <c r="AU27" s="205"/>
      <c r="AV27" s="205"/>
      <c r="AW27" s="205"/>
      <c r="AX27" s="205"/>
      <c r="AY27" s="206"/>
    </row>
    <row r="28" spans="1:51">
      <c r="A28" s="218">
        <f t="shared" si="0"/>
        <v>17</v>
      </c>
      <c r="B28" s="219"/>
      <c r="C28" s="48" t="s">
        <v>190</v>
      </c>
      <c r="D28" s="42"/>
      <c r="E28" s="42"/>
      <c r="F28" s="42"/>
      <c r="G28" s="42"/>
      <c r="H28" s="42"/>
      <c r="I28" s="42"/>
      <c r="J28" s="42"/>
      <c r="K28" s="44"/>
      <c r="L28" s="48" t="s">
        <v>190</v>
      </c>
      <c r="M28" s="42"/>
      <c r="N28" s="42"/>
      <c r="O28" s="42"/>
      <c r="P28" s="42"/>
      <c r="Q28" s="42"/>
      <c r="R28" s="42"/>
      <c r="S28" s="44"/>
      <c r="T28" s="207" t="s">
        <v>42</v>
      </c>
      <c r="U28" s="208"/>
      <c r="V28" s="209"/>
      <c r="W28" s="202" t="s">
        <v>129</v>
      </c>
      <c r="X28" s="204"/>
      <c r="Y28" s="202">
        <v>6</v>
      </c>
      <c r="Z28" s="204"/>
      <c r="AA28" s="202"/>
      <c r="AB28" s="204"/>
      <c r="AC28" s="45"/>
      <c r="AD28" s="23"/>
      <c r="AE28" s="23"/>
      <c r="AF28" s="23"/>
      <c r="AG28" s="50"/>
      <c r="AH28" s="202"/>
      <c r="AI28" s="204"/>
      <c r="AJ28" s="100"/>
      <c r="AK28" s="102"/>
      <c r="AL28" s="202"/>
      <c r="AM28" s="203"/>
      <c r="AN28" s="204"/>
      <c r="AO28" s="205"/>
      <c r="AP28" s="205"/>
      <c r="AQ28" s="205"/>
      <c r="AR28" s="205"/>
      <c r="AS28" s="205"/>
      <c r="AT28" s="205"/>
      <c r="AU28" s="205"/>
      <c r="AV28" s="205"/>
      <c r="AW28" s="205"/>
      <c r="AX28" s="205"/>
      <c r="AY28" s="206"/>
    </row>
    <row r="29" spans="1:51">
      <c r="A29" s="218">
        <f t="shared" si="0"/>
        <v>18</v>
      </c>
      <c r="B29" s="219"/>
      <c r="C29" s="48" t="s">
        <v>208</v>
      </c>
      <c r="D29" s="42"/>
      <c r="E29" s="42"/>
      <c r="F29" s="42"/>
      <c r="G29" s="42"/>
      <c r="H29" s="42"/>
      <c r="I29" s="42"/>
      <c r="J29" s="42"/>
      <c r="K29" s="44"/>
      <c r="L29" s="48" t="s">
        <v>208</v>
      </c>
      <c r="M29" s="42"/>
      <c r="N29" s="42"/>
      <c r="O29" s="42"/>
      <c r="P29" s="42"/>
      <c r="Q29" s="42"/>
      <c r="R29" s="42"/>
      <c r="S29" s="44"/>
      <c r="T29" s="207" t="s">
        <v>42</v>
      </c>
      <c r="U29" s="208"/>
      <c r="V29" s="209"/>
      <c r="W29" s="202" t="s">
        <v>137</v>
      </c>
      <c r="X29" s="204"/>
      <c r="Y29" s="202">
        <v>7</v>
      </c>
      <c r="Z29" s="204"/>
      <c r="AA29" s="202"/>
      <c r="AB29" s="204"/>
      <c r="AC29" s="45"/>
      <c r="AD29" s="23"/>
      <c r="AE29" s="23"/>
      <c r="AF29" s="23"/>
      <c r="AG29" s="50"/>
      <c r="AH29" s="202"/>
      <c r="AI29" s="204"/>
      <c r="AJ29" s="100"/>
      <c r="AK29" s="102"/>
      <c r="AL29" s="202"/>
      <c r="AM29" s="203"/>
      <c r="AN29" s="204"/>
      <c r="AO29" s="205"/>
      <c r="AP29" s="205"/>
      <c r="AQ29" s="205"/>
      <c r="AR29" s="205"/>
      <c r="AS29" s="205"/>
      <c r="AT29" s="205"/>
      <c r="AU29" s="205"/>
      <c r="AV29" s="205"/>
      <c r="AW29" s="205"/>
      <c r="AX29" s="205"/>
      <c r="AY29" s="206"/>
    </row>
    <row r="30" spans="1:51">
      <c r="A30" s="218">
        <f t="shared" si="0"/>
        <v>19</v>
      </c>
      <c r="B30" s="219"/>
      <c r="C30" s="48"/>
      <c r="D30" s="42"/>
      <c r="E30" s="42"/>
      <c r="F30" s="42"/>
      <c r="G30" s="42"/>
      <c r="H30" s="42"/>
      <c r="I30" s="42"/>
      <c r="J30" s="42"/>
      <c r="K30" s="44"/>
      <c r="L30" s="48"/>
      <c r="M30" s="42"/>
      <c r="N30" s="42"/>
      <c r="O30" s="42"/>
      <c r="P30" s="42"/>
      <c r="Q30" s="42"/>
      <c r="R30" s="42"/>
      <c r="S30" s="44"/>
      <c r="T30" s="207"/>
      <c r="U30" s="208"/>
      <c r="V30" s="209"/>
      <c r="W30" s="202"/>
      <c r="X30" s="204"/>
      <c r="Y30" s="202"/>
      <c r="Z30" s="204"/>
      <c r="AA30" s="220"/>
      <c r="AB30" s="221"/>
      <c r="AC30" s="45"/>
      <c r="AD30" s="23"/>
      <c r="AE30" s="23"/>
      <c r="AF30" s="23"/>
      <c r="AG30" s="50"/>
      <c r="AH30" s="220"/>
      <c r="AI30" s="221"/>
      <c r="AJ30" s="223"/>
      <c r="AK30" s="224"/>
      <c r="AL30" s="220"/>
      <c r="AM30" s="222"/>
      <c r="AN30" s="221"/>
      <c r="AO30" s="205"/>
      <c r="AP30" s="205"/>
      <c r="AQ30" s="205"/>
      <c r="AR30" s="205"/>
      <c r="AS30" s="205"/>
      <c r="AT30" s="205"/>
      <c r="AU30" s="205"/>
      <c r="AV30" s="205"/>
      <c r="AW30" s="205"/>
      <c r="AX30" s="205"/>
      <c r="AY30" s="206"/>
    </row>
    <row r="31" spans="1:51">
      <c r="A31" s="218">
        <f t="shared" si="0"/>
        <v>20</v>
      </c>
      <c r="B31" s="219"/>
      <c r="C31" s="48"/>
      <c r="D31" s="42"/>
      <c r="E31" s="42"/>
      <c r="F31" s="42"/>
      <c r="G31" s="42"/>
      <c r="H31" s="42"/>
      <c r="I31" s="42"/>
      <c r="J31" s="42"/>
      <c r="K31" s="44"/>
      <c r="L31" s="48"/>
      <c r="M31" s="42"/>
      <c r="N31" s="42"/>
      <c r="O31" s="42"/>
      <c r="P31" s="42"/>
      <c r="Q31" s="42"/>
      <c r="R31" s="42"/>
      <c r="S31" s="44"/>
      <c r="T31" s="207"/>
      <c r="U31" s="208"/>
      <c r="V31" s="209"/>
      <c r="W31" s="202"/>
      <c r="X31" s="204"/>
      <c r="Y31" s="220"/>
      <c r="Z31" s="221"/>
      <c r="AA31" s="220"/>
      <c r="AB31" s="221"/>
      <c r="AC31" s="45"/>
      <c r="AD31" s="23"/>
      <c r="AE31" s="23"/>
      <c r="AF31" s="23"/>
      <c r="AG31" s="50"/>
      <c r="AH31" s="220"/>
      <c r="AI31" s="221"/>
      <c r="AJ31" s="223"/>
      <c r="AK31" s="224"/>
      <c r="AL31" s="220"/>
      <c r="AM31" s="222"/>
      <c r="AN31" s="221"/>
      <c r="AO31" s="205"/>
      <c r="AP31" s="205"/>
      <c r="AQ31" s="205"/>
      <c r="AR31" s="205"/>
      <c r="AS31" s="205"/>
      <c r="AT31" s="205"/>
      <c r="AU31" s="205"/>
      <c r="AV31" s="205"/>
      <c r="AW31" s="205"/>
      <c r="AX31" s="205"/>
      <c r="AY31" s="206"/>
    </row>
    <row r="32" spans="1:51">
      <c r="A32" s="218">
        <f t="shared" si="0"/>
        <v>21</v>
      </c>
      <c r="B32" s="219"/>
      <c r="C32" s="48"/>
      <c r="D32" s="42"/>
      <c r="E32" s="42"/>
      <c r="F32" s="42"/>
      <c r="G32" s="42"/>
      <c r="H32" s="42"/>
      <c r="I32" s="42"/>
      <c r="J32" s="42"/>
      <c r="K32" s="44"/>
      <c r="L32" s="48"/>
      <c r="M32" s="42"/>
      <c r="N32" s="42"/>
      <c r="O32" s="42"/>
      <c r="P32" s="42"/>
      <c r="Q32" s="42"/>
      <c r="R32" s="42"/>
      <c r="S32" s="44"/>
      <c r="T32" s="207"/>
      <c r="U32" s="208"/>
      <c r="V32" s="209"/>
      <c r="W32" s="202"/>
      <c r="X32" s="204"/>
      <c r="Y32" s="220"/>
      <c r="Z32" s="221"/>
      <c r="AA32" s="220"/>
      <c r="AB32" s="221"/>
      <c r="AC32" s="45"/>
      <c r="AD32" s="23"/>
      <c r="AE32" s="23"/>
      <c r="AF32" s="23"/>
      <c r="AG32" s="50"/>
      <c r="AH32" s="220"/>
      <c r="AI32" s="221"/>
      <c r="AJ32" s="223"/>
      <c r="AK32" s="224"/>
      <c r="AL32" s="220"/>
      <c r="AM32" s="222"/>
      <c r="AN32" s="221"/>
      <c r="AO32" s="205"/>
      <c r="AP32" s="205"/>
      <c r="AQ32" s="205"/>
      <c r="AR32" s="205"/>
      <c r="AS32" s="205"/>
      <c r="AT32" s="205"/>
      <c r="AU32" s="205"/>
      <c r="AV32" s="205"/>
      <c r="AW32" s="205"/>
      <c r="AX32" s="205"/>
      <c r="AY32" s="206"/>
    </row>
    <row r="33" spans="1:51">
      <c r="A33" s="218">
        <f t="shared" si="0"/>
        <v>22</v>
      </c>
      <c r="B33" s="219"/>
      <c r="C33" s="48"/>
      <c r="D33" s="42"/>
      <c r="E33" s="42"/>
      <c r="F33" s="42"/>
      <c r="G33" s="42"/>
      <c r="H33" s="42"/>
      <c r="I33" s="42"/>
      <c r="J33" s="42"/>
      <c r="K33" s="44"/>
      <c r="L33" s="48"/>
      <c r="M33" s="42"/>
      <c r="N33" s="42"/>
      <c r="O33" s="42"/>
      <c r="P33" s="42"/>
      <c r="Q33" s="42"/>
      <c r="R33" s="42"/>
      <c r="S33" s="44"/>
      <c r="T33" s="207"/>
      <c r="U33" s="208"/>
      <c r="V33" s="209"/>
      <c r="W33" s="202"/>
      <c r="X33" s="204"/>
      <c r="Y33" s="220"/>
      <c r="Z33" s="221"/>
      <c r="AA33" s="220"/>
      <c r="AB33" s="221"/>
      <c r="AC33" s="45"/>
      <c r="AD33" s="23"/>
      <c r="AE33" s="23"/>
      <c r="AF33" s="23"/>
      <c r="AG33" s="50"/>
      <c r="AH33" s="220"/>
      <c r="AI33" s="221"/>
      <c r="AJ33" s="223"/>
      <c r="AK33" s="224"/>
      <c r="AL33" s="220"/>
      <c r="AM33" s="222"/>
      <c r="AN33" s="221"/>
      <c r="AO33" s="205"/>
      <c r="AP33" s="205"/>
      <c r="AQ33" s="205"/>
      <c r="AR33" s="205"/>
      <c r="AS33" s="205"/>
      <c r="AT33" s="205"/>
      <c r="AU33" s="205"/>
      <c r="AV33" s="205"/>
      <c r="AW33" s="205"/>
      <c r="AX33" s="205"/>
      <c r="AY33" s="206"/>
    </row>
    <row r="34" spans="1:51">
      <c r="A34" s="218">
        <f t="shared" si="0"/>
        <v>23</v>
      </c>
      <c r="B34" s="219"/>
      <c r="C34" s="48"/>
      <c r="D34" s="42"/>
      <c r="E34" s="42"/>
      <c r="F34" s="42"/>
      <c r="G34" s="42"/>
      <c r="H34" s="42"/>
      <c r="I34" s="42"/>
      <c r="J34" s="42"/>
      <c r="K34" s="44"/>
      <c r="L34" s="48"/>
      <c r="M34" s="42"/>
      <c r="N34" s="42"/>
      <c r="O34" s="42"/>
      <c r="P34" s="42"/>
      <c r="Q34" s="42"/>
      <c r="R34" s="42"/>
      <c r="S34" s="44"/>
      <c r="T34" s="207"/>
      <c r="U34" s="208"/>
      <c r="V34" s="209"/>
      <c r="W34" s="202"/>
      <c r="X34" s="204"/>
      <c r="Y34" s="202"/>
      <c r="Z34" s="204"/>
      <c r="AA34" s="220"/>
      <c r="AB34" s="221"/>
      <c r="AC34" s="45"/>
      <c r="AD34" s="23"/>
      <c r="AE34" s="23"/>
      <c r="AF34" s="23"/>
      <c r="AG34" s="50"/>
      <c r="AH34" s="220"/>
      <c r="AI34" s="221"/>
      <c r="AJ34" s="223"/>
      <c r="AK34" s="224"/>
      <c r="AL34" s="220"/>
      <c r="AM34" s="222"/>
      <c r="AN34" s="221"/>
      <c r="AO34" s="205"/>
      <c r="AP34" s="205"/>
      <c r="AQ34" s="205"/>
      <c r="AR34" s="205"/>
      <c r="AS34" s="205"/>
      <c r="AT34" s="205"/>
      <c r="AU34" s="205"/>
      <c r="AV34" s="205"/>
      <c r="AW34" s="205"/>
      <c r="AX34" s="205"/>
      <c r="AY34" s="206"/>
    </row>
    <row r="35" spans="1:51">
      <c r="A35" s="218">
        <f t="shared" si="0"/>
        <v>24</v>
      </c>
      <c r="B35" s="219"/>
      <c r="C35" s="48"/>
      <c r="D35" s="42"/>
      <c r="E35" s="42"/>
      <c r="F35" s="42"/>
      <c r="G35" s="42"/>
      <c r="H35" s="42"/>
      <c r="I35" s="42"/>
      <c r="J35" s="42"/>
      <c r="K35" s="44"/>
      <c r="L35" s="48"/>
      <c r="M35" s="42"/>
      <c r="N35" s="42"/>
      <c r="O35" s="42"/>
      <c r="P35" s="42"/>
      <c r="Q35" s="42"/>
      <c r="R35" s="42"/>
      <c r="S35" s="44"/>
      <c r="T35" s="207"/>
      <c r="U35" s="208"/>
      <c r="V35" s="209"/>
      <c r="W35" s="202"/>
      <c r="X35" s="204"/>
      <c r="Y35" s="202"/>
      <c r="Z35" s="204"/>
      <c r="AA35" s="220"/>
      <c r="AB35" s="221"/>
      <c r="AC35" s="45"/>
      <c r="AD35" s="23"/>
      <c r="AE35" s="23"/>
      <c r="AF35" s="23"/>
      <c r="AG35" s="50"/>
      <c r="AH35" s="220"/>
      <c r="AI35" s="221"/>
      <c r="AJ35" s="223"/>
      <c r="AK35" s="224"/>
      <c r="AL35" s="220"/>
      <c r="AM35" s="222"/>
      <c r="AN35" s="221"/>
      <c r="AO35" s="205"/>
      <c r="AP35" s="205"/>
      <c r="AQ35" s="205"/>
      <c r="AR35" s="205"/>
      <c r="AS35" s="205"/>
      <c r="AT35" s="205"/>
      <c r="AU35" s="205"/>
      <c r="AV35" s="205"/>
      <c r="AW35" s="205"/>
      <c r="AX35" s="205"/>
      <c r="AY35" s="206"/>
    </row>
    <row r="36" spans="1:51">
      <c r="A36" s="218">
        <f t="shared" si="0"/>
        <v>25</v>
      </c>
      <c r="B36" s="219"/>
      <c r="C36" s="48"/>
      <c r="D36" s="42"/>
      <c r="E36" s="42"/>
      <c r="F36" s="42"/>
      <c r="G36" s="42"/>
      <c r="H36" s="42"/>
      <c r="I36" s="42"/>
      <c r="J36" s="42"/>
      <c r="K36" s="44"/>
      <c r="L36" s="48"/>
      <c r="M36" s="42"/>
      <c r="N36" s="42"/>
      <c r="O36" s="42"/>
      <c r="P36" s="42"/>
      <c r="Q36" s="42"/>
      <c r="R36" s="42"/>
      <c r="S36" s="44"/>
      <c r="T36" s="207"/>
      <c r="U36" s="208"/>
      <c r="V36" s="209"/>
      <c r="W36" s="202"/>
      <c r="X36" s="204"/>
      <c r="Y36" s="220"/>
      <c r="Z36" s="221"/>
      <c r="AA36" s="215"/>
      <c r="AB36" s="216"/>
      <c r="AC36" s="46"/>
      <c r="AD36" s="24"/>
      <c r="AE36" s="24"/>
      <c r="AF36" s="24"/>
      <c r="AG36" s="51"/>
      <c r="AH36" s="215"/>
      <c r="AI36" s="216"/>
      <c r="AJ36" s="212"/>
      <c r="AK36" s="213"/>
      <c r="AL36" s="215"/>
      <c r="AM36" s="217"/>
      <c r="AN36" s="216"/>
      <c r="AO36" s="205"/>
      <c r="AP36" s="205"/>
      <c r="AQ36" s="205"/>
      <c r="AR36" s="205"/>
      <c r="AS36" s="205"/>
      <c r="AT36" s="205"/>
      <c r="AU36" s="205"/>
      <c r="AV36" s="205"/>
      <c r="AW36" s="205"/>
      <c r="AX36" s="205"/>
      <c r="AY36" s="206"/>
    </row>
    <row r="37" spans="1:51">
      <c r="A37" s="202">
        <f t="shared" si="0"/>
        <v>26</v>
      </c>
      <c r="B37" s="204"/>
      <c r="C37" s="48"/>
      <c r="D37" s="42"/>
      <c r="E37" s="42"/>
      <c r="F37" s="42"/>
      <c r="G37" s="42"/>
      <c r="H37" s="42"/>
      <c r="I37" s="42"/>
      <c r="J37" s="42"/>
      <c r="K37" s="44"/>
      <c r="L37" s="48"/>
      <c r="M37" s="42"/>
      <c r="N37" s="42"/>
      <c r="O37" s="42"/>
      <c r="P37" s="42"/>
      <c r="Q37" s="42"/>
      <c r="R37" s="42"/>
      <c r="S37" s="44"/>
      <c r="T37" s="207"/>
      <c r="U37" s="208"/>
      <c r="V37" s="209"/>
      <c r="W37" s="202"/>
      <c r="X37" s="204"/>
      <c r="Y37" s="220"/>
      <c r="Z37" s="221"/>
      <c r="AA37" s="215"/>
      <c r="AB37" s="216"/>
      <c r="AC37" s="46"/>
      <c r="AD37" s="24"/>
      <c r="AE37" s="24"/>
      <c r="AF37" s="24"/>
      <c r="AG37" s="51"/>
      <c r="AH37" s="215"/>
      <c r="AI37" s="216"/>
      <c r="AJ37" s="212"/>
      <c r="AK37" s="213"/>
      <c r="AL37" s="215"/>
      <c r="AM37" s="217"/>
      <c r="AN37" s="216"/>
      <c r="AO37" s="205"/>
      <c r="AP37" s="205"/>
      <c r="AQ37" s="205"/>
      <c r="AR37" s="205"/>
      <c r="AS37" s="205"/>
      <c r="AT37" s="205"/>
      <c r="AU37" s="205"/>
      <c r="AV37" s="205"/>
      <c r="AW37" s="205"/>
      <c r="AX37" s="205"/>
      <c r="AY37" s="206"/>
    </row>
    <row r="38" spans="1:51">
      <c r="A38" s="218">
        <f t="shared" si="0"/>
        <v>27</v>
      </c>
      <c r="B38" s="219"/>
      <c r="C38" s="48"/>
      <c r="D38" s="42"/>
      <c r="E38" s="42"/>
      <c r="F38" s="42"/>
      <c r="G38" s="42"/>
      <c r="H38" s="42"/>
      <c r="I38" s="42"/>
      <c r="J38" s="42"/>
      <c r="K38" s="44"/>
      <c r="L38" s="48"/>
      <c r="M38" s="42"/>
      <c r="N38" s="42"/>
      <c r="O38" s="42"/>
      <c r="P38" s="42"/>
      <c r="Q38" s="42"/>
      <c r="R38" s="42"/>
      <c r="S38" s="44"/>
      <c r="T38" s="207"/>
      <c r="U38" s="208"/>
      <c r="V38" s="209"/>
      <c r="W38" s="202"/>
      <c r="X38" s="204"/>
      <c r="Y38" s="202"/>
      <c r="Z38" s="204"/>
      <c r="AA38" s="215"/>
      <c r="AB38" s="216"/>
      <c r="AC38" s="46"/>
      <c r="AD38" s="24"/>
      <c r="AE38" s="24"/>
      <c r="AF38" s="24"/>
      <c r="AG38" s="51"/>
      <c r="AH38" s="215"/>
      <c r="AI38" s="216"/>
      <c r="AJ38" s="212"/>
      <c r="AK38" s="213"/>
      <c r="AL38" s="215"/>
      <c r="AM38" s="217"/>
      <c r="AN38" s="216"/>
      <c r="AO38" s="205"/>
      <c r="AP38" s="205"/>
      <c r="AQ38" s="205"/>
      <c r="AR38" s="205"/>
      <c r="AS38" s="205"/>
      <c r="AT38" s="205"/>
      <c r="AU38" s="205"/>
      <c r="AV38" s="205"/>
      <c r="AW38" s="205"/>
      <c r="AX38" s="205"/>
      <c r="AY38" s="206"/>
    </row>
    <row r="39" spans="1:51">
      <c r="A39" s="202">
        <f t="shared" si="0"/>
        <v>28</v>
      </c>
      <c r="B39" s="204"/>
      <c r="C39" s="48"/>
      <c r="D39" s="42"/>
      <c r="E39" s="42"/>
      <c r="F39" s="42"/>
      <c r="G39" s="42"/>
      <c r="H39" s="42"/>
      <c r="I39" s="42"/>
      <c r="J39" s="42"/>
      <c r="K39" s="44"/>
      <c r="L39" s="48"/>
      <c r="M39" s="42"/>
      <c r="N39" s="42"/>
      <c r="O39" s="42"/>
      <c r="P39" s="42"/>
      <c r="Q39" s="42"/>
      <c r="R39" s="42"/>
      <c r="S39" s="44"/>
      <c r="T39" s="207"/>
      <c r="U39" s="208"/>
      <c r="V39" s="209"/>
      <c r="W39" s="220"/>
      <c r="X39" s="221"/>
      <c r="Y39" s="220"/>
      <c r="Z39" s="221"/>
      <c r="AA39" s="215"/>
      <c r="AB39" s="216"/>
      <c r="AC39" s="46"/>
      <c r="AD39" s="24"/>
      <c r="AE39" s="24"/>
      <c r="AF39" s="24"/>
      <c r="AG39" s="51"/>
      <c r="AH39" s="215"/>
      <c r="AI39" s="216"/>
      <c r="AJ39" s="212"/>
      <c r="AK39" s="213"/>
      <c r="AL39" s="215"/>
      <c r="AM39" s="217"/>
      <c r="AN39" s="216"/>
      <c r="AO39" s="205"/>
      <c r="AP39" s="205"/>
      <c r="AQ39" s="205"/>
      <c r="AR39" s="205"/>
      <c r="AS39" s="205"/>
      <c r="AT39" s="205"/>
      <c r="AU39" s="205"/>
      <c r="AV39" s="205"/>
      <c r="AW39" s="205"/>
      <c r="AX39" s="205"/>
      <c r="AY39" s="206"/>
    </row>
    <row r="40" spans="1:51">
      <c r="A40" s="202">
        <f t="shared" si="0"/>
        <v>29</v>
      </c>
      <c r="B40" s="204"/>
      <c r="C40" s="48"/>
      <c r="D40" s="42"/>
      <c r="E40" s="42"/>
      <c r="F40" s="42"/>
      <c r="G40" s="42"/>
      <c r="H40" s="42"/>
      <c r="I40" s="42"/>
      <c r="J40" s="42"/>
      <c r="K40" s="44"/>
      <c r="L40" s="48"/>
      <c r="M40" s="42"/>
      <c r="N40" s="42"/>
      <c r="O40" s="42"/>
      <c r="P40" s="42"/>
      <c r="Q40" s="42"/>
      <c r="R40" s="42"/>
      <c r="S40" s="44"/>
      <c r="T40" s="207"/>
      <c r="U40" s="208"/>
      <c r="V40" s="209"/>
      <c r="W40" s="220"/>
      <c r="X40" s="221"/>
      <c r="Y40" s="220"/>
      <c r="Z40" s="221"/>
      <c r="AA40" s="215"/>
      <c r="AB40" s="216"/>
      <c r="AC40" s="46"/>
      <c r="AD40" s="24"/>
      <c r="AE40" s="24"/>
      <c r="AF40" s="24"/>
      <c r="AG40" s="51"/>
      <c r="AH40" s="215"/>
      <c r="AI40" s="216"/>
      <c r="AJ40" s="212"/>
      <c r="AK40" s="213"/>
      <c r="AL40" s="215"/>
      <c r="AM40" s="217"/>
      <c r="AN40" s="216"/>
      <c r="AO40" s="205"/>
      <c r="AP40" s="205"/>
      <c r="AQ40" s="205"/>
      <c r="AR40" s="205"/>
      <c r="AS40" s="205"/>
      <c r="AT40" s="205"/>
      <c r="AU40" s="205"/>
      <c r="AV40" s="205"/>
      <c r="AW40" s="205"/>
      <c r="AX40" s="205"/>
      <c r="AY40" s="206"/>
    </row>
    <row r="41" spans="1:51">
      <c r="A41" s="218">
        <f t="shared" si="0"/>
        <v>30</v>
      </c>
      <c r="B41" s="219"/>
      <c r="C41" s="48"/>
      <c r="D41" s="42"/>
      <c r="E41" s="42"/>
      <c r="F41" s="42"/>
      <c r="G41" s="42"/>
      <c r="H41" s="42"/>
      <c r="I41" s="42"/>
      <c r="J41" s="42"/>
      <c r="K41" s="44"/>
      <c r="L41" s="48"/>
      <c r="M41" s="42"/>
      <c r="N41" s="42"/>
      <c r="O41" s="42"/>
      <c r="P41" s="42"/>
      <c r="Q41" s="42"/>
      <c r="R41" s="42"/>
      <c r="S41" s="44"/>
      <c r="T41" s="207"/>
      <c r="U41" s="208"/>
      <c r="V41" s="209"/>
      <c r="W41" s="220"/>
      <c r="X41" s="221"/>
      <c r="Y41" s="220"/>
      <c r="Z41" s="221"/>
      <c r="AA41" s="215"/>
      <c r="AB41" s="216"/>
      <c r="AC41" s="46"/>
      <c r="AD41" s="24"/>
      <c r="AE41" s="24"/>
      <c r="AF41" s="24"/>
      <c r="AG41" s="51"/>
      <c r="AH41" s="215"/>
      <c r="AI41" s="216"/>
      <c r="AJ41" s="212"/>
      <c r="AK41" s="213"/>
      <c r="AL41" s="215"/>
      <c r="AM41" s="217"/>
      <c r="AN41" s="216"/>
      <c r="AO41" s="205"/>
      <c r="AP41" s="205"/>
      <c r="AQ41" s="205"/>
      <c r="AR41" s="205"/>
      <c r="AS41" s="205"/>
      <c r="AT41" s="205"/>
      <c r="AU41" s="205"/>
      <c r="AV41" s="205"/>
      <c r="AW41" s="205"/>
      <c r="AX41" s="205"/>
      <c r="AY41" s="206"/>
    </row>
    <row r="42" spans="1:51">
      <c r="A42" s="202">
        <f t="shared" si="0"/>
        <v>31</v>
      </c>
      <c r="B42" s="204"/>
      <c r="C42" s="48"/>
      <c r="D42" s="42"/>
      <c r="E42" s="42"/>
      <c r="F42" s="42"/>
      <c r="G42" s="42"/>
      <c r="H42" s="42"/>
      <c r="I42" s="42"/>
      <c r="J42" s="42"/>
      <c r="K42" s="44"/>
      <c r="L42" s="48"/>
      <c r="M42" s="42"/>
      <c r="N42" s="42"/>
      <c r="O42" s="42"/>
      <c r="P42" s="42"/>
      <c r="Q42" s="42"/>
      <c r="R42" s="42"/>
      <c r="S42" s="44"/>
      <c r="T42" s="207"/>
      <c r="U42" s="208"/>
      <c r="V42" s="209"/>
      <c r="W42" s="220"/>
      <c r="X42" s="221"/>
      <c r="Y42" s="220"/>
      <c r="Z42" s="221"/>
      <c r="AA42" s="215"/>
      <c r="AB42" s="216"/>
      <c r="AC42" s="46"/>
      <c r="AD42" s="24"/>
      <c r="AE42" s="24"/>
      <c r="AF42" s="24"/>
      <c r="AG42" s="51"/>
      <c r="AH42" s="215"/>
      <c r="AI42" s="216"/>
      <c r="AJ42" s="212"/>
      <c r="AK42" s="213"/>
      <c r="AL42" s="215"/>
      <c r="AM42" s="217"/>
      <c r="AN42" s="216"/>
      <c r="AO42" s="205"/>
      <c r="AP42" s="205"/>
      <c r="AQ42" s="205"/>
      <c r="AR42" s="205"/>
      <c r="AS42" s="205"/>
      <c r="AT42" s="205"/>
      <c r="AU42" s="205"/>
      <c r="AV42" s="205"/>
      <c r="AW42" s="205"/>
      <c r="AX42" s="205"/>
      <c r="AY42" s="206"/>
    </row>
    <row r="43" spans="1:51">
      <c r="A43" s="202">
        <f t="shared" si="0"/>
        <v>32</v>
      </c>
      <c r="B43" s="204"/>
      <c r="C43" s="48"/>
      <c r="D43" s="42"/>
      <c r="E43" s="42"/>
      <c r="F43" s="42"/>
      <c r="G43" s="42"/>
      <c r="H43" s="42"/>
      <c r="I43" s="42"/>
      <c r="J43" s="42"/>
      <c r="K43" s="44"/>
      <c r="L43" s="48"/>
      <c r="M43" s="42"/>
      <c r="N43" s="42"/>
      <c r="O43" s="42"/>
      <c r="P43" s="42"/>
      <c r="Q43" s="42"/>
      <c r="R43" s="42"/>
      <c r="S43" s="44"/>
      <c r="T43" s="207"/>
      <c r="U43" s="208"/>
      <c r="V43" s="209"/>
      <c r="W43" s="220"/>
      <c r="X43" s="221"/>
      <c r="Y43" s="220"/>
      <c r="Z43" s="221"/>
      <c r="AA43" s="215"/>
      <c r="AB43" s="216"/>
      <c r="AC43" s="46"/>
      <c r="AD43" s="24"/>
      <c r="AE43" s="24"/>
      <c r="AF43" s="24"/>
      <c r="AG43" s="51"/>
      <c r="AH43" s="215"/>
      <c r="AI43" s="216"/>
      <c r="AJ43" s="212"/>
      <c r="AK43" s="213"/>
      <c r="AL43" s="215"/>
      <c r="AM43" s="217"/>
      <c r="AN43" s="216"/>
      <c r="AO43" s="205"/>
      <c r="AP43" s="205"/>
      <c r="AQ43" s="205"/>
      <c r="AR43" s="205"/>
      <c r="AS43" s="205"/>
      <c r="AT43" s="205"/>
      <c r="AU43" s="205"/>
      <c r="AV43" s="205"/>
      <c r="AW43" s="205"/>
      <c r="AX43" s="205"/>
      <c r="AY43" s="206"/>
    </row>
    <row r="44" spans="1:51">
      <c r="A44" s="202">
        <f t="shared" si="0"/>
        <v>33</v>
      </c>
      <c r="B44" s="204"/>
      <c r="C44" s="48"/>
      <c r="D44" s="42"/>
      <c r="E44" s="42"/>
      <c r="F44" s="42"/>
      <c r="G44" s="42"/>
      <c r="H44" s="42"/>
      <c r="I44" s="42"/>
      <c r="J44" s="42"/>
      <c r="K44" s="44"/>
      <c r="L44" s="48"/>
      <c r="M44" s="42"/>
      <c r="N44" s="42"/>
      <c r="O44" s="42"/>
      <c r="P44" s="42"/>
      <c r="Q44" s="42"/>
      <c r="R44" s="42"/>
      <c r="S44" s="44"/>
      <c r="T44" s="207"/>
      <c r="U44" s="208"/>
      <c r="V44" s="209"/>
      <c r="W44" s="220"/>
      <c r="X44" s="221"/>
      <c r="Y44" s="220"/>
      <c r="Z44" s="221"/>
      <c r="AA44" s="215"/>
      <c r="AB44" s="216"/>
      <c r="AC44" s="46"/>
      <c r="AD44" s="24"/>
      <c r="AE44" s="24"/>
      <c r="AF44" s="24"/>
      <c r="AG44" s="51"/>
      <c r="AH44" s="215"/>
      <c r="AI44" s="216"/>
      <c r="AJ44" s="212"/>
      <c r="AK44" s="213"/>
      <c r="AL44" s="215"/>
      <c r="AM44" s="217"/>
      <c r="AN44" s="216"/>
      <c r="AO44" s="205"/>
      <c r="AP44" s="205"/>
      <c r="AQ44" s="205"/>
      <c r="AR44" s="205"/>
      <c r="AS44" s="205"/>
      <c r="AT44" s="205"/>
      <c r="AU44" s="205"/>
      <c r="AV44" s="205"/>
      <c r="AW44" s="205"/>
      <c r="AX44" s="205"/>
      <c r="AY44" s="206"/>
    </row>
    <row r="45" spans="1:51">
      <c r="A45" s="202">
        <f t="shared" si="0"/>
        <v>34</v>
      </c>
      <c r="B45" s="204"/>
      <c r="C45" s="48"/>
      <c r="D45" s="42"/>
      <c r="E45" s="42"/>
      <c r="F45" s="42"/>
      <c r="G45" s="42"/>
      <c r="H45" s="42"/>
      <c r="I45" s="42"/>
      <c r="J45" s="42"/>
      <c r="K45" s="44"/>
      <c r="L45" s="48"/>
      <c r="M45" s="42"/>
      <c r="N45" s="42"/>
      <c r="O45" s="42"/>
      <c r="P45" s="42"/>
      <c r="Q45" s="42"/>
      <c r="R45" s="42"/>
      <c r="S45" s="44"/>
      <c r="T45" s="207"/>
      <c r="U45" s="208"/>
      <c r="V45" s="209"/>
      <c r="W45" s="220"/>
      <c r="X45" s="221"/>
      <c r="Y45" s="215"/>
      <c r="Z45" s="216"/>
      <c r="AA45" s="215"/>
      <c r="AB45" s="216"/>
      <c r="AC45" s="46"/>
      <c r="AD45" s="24"/>
      <c r="AE45" s="24"/>
      <c r="AF45" s="24"/>
      <c r="AG45" s="51"/>
      <c r="AH45" s="215"/>
      <c r="AI45" s="216"/>
      <c r="AJ45" s="212"/>
      <c r="AK45" s="213"/>
      <c r="AL45" s="215"/>
      <c r="AM45" s="217"/>
      <c r="AN45" s="216"/>
      <c r="AO45" s="205"/>
      <c r="AP45" s="205"/>
      <c r="AQ45" s="205"/>
      <c r="AR45" s="205"/>
      <c r="AS45" s="205"/>
      <c r="AT45" s="205"/>
      <c r="AU45" s="205"/>
      <c r="AV45" s="205"/>
      <c r="AW45" s="205"/>
      <c r="AX45" s="205"/>
      <c r="AY45" s="206"/>
    </row>
    <row r="46" spans="1:51">
      <c r="A46" s="210">
        <f t="shared" si="0"/>
        <v>35</v>
      </c>
      <c r="B46" s="211"/>
      <c r="C46" s="48"/>
      <c r="D46" s="42"/>
      <c r="E46" s="42"/>
      <c r="F46" s="42"/>
      <c r="G46" s="42"/>
      <c r="H46" s="42"/>
      <c r="I46" s="42"/>
      <c r="J46" s="42"/>
      <c r="K46" s="44"/>
      <c r="L46" s="48"/>
      <c r="M46" s="42"/>
      <c r="N46" s="42"/>
      <c r="O46" s="42"/>
      <c r="P46" s="42"/>
      <c r="Q46" s="42"/>
      <c r="R46" s="42"/>
      <c r="S46" s="44"/>
      <c r="T46" s="207"/>
      <c r="U46" s="208"/>
      <c r="V46" s="209"/>
      <c r="W46" s="220"/>
      <c r="X46" s="221"/>
      <c r="Y46" s="225"/>
      <c r="Z46" s="226"/>
      <c r="AA46" s="225"/>
      <c r="AB46" s="226"/>
      <c r="AC46" s="43"/>
      <c r="AD46" s="10"/>
      <c r="AE46" s="10"/>
      <c r="AF46" s="10"/>
      <c r="AG46" s="52"/>
      <c r="AH46" s="225"/>
      <c r="AI46" s="226"/>
      <c r="AJ46" s="227"/>
      <c r="AK46" s="228"/>
      <c r="AL46" s="225"/>
      <c r="AM46" s="229"/>
      <c r="AN46" s="226"/>
      <c r="AO46" s="230"/>
      <c r="AP46" s="230"/>
      <c r="AQ46" s="230"/>
      <c r="AR46" s="230"/>
      <c r="AS46" s="230"/>
      <c r="AT46" s="230"/>
      <c r="AU46" s="230"/>
      <c r="AV46" s="230"/>
      <c r="AW46" s="230"/>
      <c r="AX46" s="230"/>
      <c r="AY46" s="231"/>
    </row>
    <row r="47" spans="1:51">
      <c r="A47" s="210">
        <f t="shared" si="0"/>
        <v>36</v>
      </c>
      <c r="B47" s="211"/>
      <c r="C47" s="48"/>
      <c r="D47" s="42"/>
      <c r="E47" s="42"/>
      <c r="F47" s="42"/>
      <c r="G47" s="42"/>
      <c r="H47" s="42"/>
      <c r="I47" s="42"/>
      <c r="J47" s="42"/>
      <c r="K47" s="44"/>
      <c r="L47" s="48"/>
      <c r="M47" s="42"/>
      <c r="N47" s="42"/>
      <c r="O47" s="42"/>
      <c r="P47" s="42"/>
      <c r="Q47" s="42"/>
      <c r="R47" s="42"/>
      <c r="S47" s="44"/>
      <c r="T47" s="207"/>
      <c r="U47" s="208"/>
      <c r="V47" s="209"/>
      <c r="W47" s="220"/>
      <c r="X47" s="221"/>
      <c r="Y47" s="225"/>
      <c r="Z47" s="226"/>
      <c r="AA47" s="225"/>
      <c r="AB47" s="226"/>
      <c r="AC47" s="43"/>
      <c r="AD47" s="10"/>
      <c r="AE47" s="10"/>
      <c r="AF47" s="10"/>
      <c r="AG47" s="52"/>
      <c r="AH47" s="225"/>
      <c r="AI47" s="226"/>
      <c r="AJ47" s="227"/>
      <c r="AK47" s="228"/>
      <c r="AL47" s="225"/>
      <c r="AM47" s="229"/>
      <c r="AN47" s="226"/>
      <c r="AO47" s="230"/>
      <c r="AP47" s="230"/>
      <c r="AQ47" s="230"/>
      <c r="AR47" s="230"/>
      <c r="AS47" s="230"/>
      <c r="AT47" s="230"/>
      <c r="AU47" s="230"/>
      <c r="AV47" s="230"/>
      <c r="AW47" s="230"/>
      <c r="AX47" s="230"/>
      <c r="AY47" s="231"/>
    </row>
    <row r="48" spans="1:51">
      <c r="A48" s="210">
        <f t="shared" si="0"/>
        <v>37</v>
      </c>
      <c r="B48" s="211"/>
      <c r="C48" s="48"/>
      <c r="D48" s="42"/>
      <c r="E48" s="42"/>
      <c r="F48" s="42"/>
      <c r="G48" s="42"/>
      <c r="H48" s="42"/>
      <c r="I48" s="42"/>
      <c r="J48" s="42"/>
      <c r="K48" s="44"/>
      <c r="L48" s="48"/>
      <c r="M48" s="42"/>
      <c r="N48" s="42"/>
      <c r="O48" s="42"/>
      <c r="P48" s="42"/>
      <c r="Q48" s="42"/>
      <c r="R48" s="42"/>
      <c r="S48" s="44"/>
      <c r="T48" s="207"/>
      <c r="U48" s="208"/>
      <c r="V48" s="209"/>
      <c r="W48" s="220"/>
      <c r="X48" s="221"/>
      <c r="Y48" s="225"/>
      <c r="Z48" s="226"/>
      <c r="AA48" s="225"/>
      <c r="AB48" s="226"/>
      <c r="AC48" s="43"/>
      <c r="AD48" s="10"/>
      <c r="AE48" s="10"/>
      <c r="AF48" s="10"/>
      <c r="AG48" s="52"/>
      <c r="AH48" s="225"/>
      <c r="AI48" s="226"/>
      <c r="AJ48" s="227"/>
      <c r="AK48" s="228"/>
      <c r="AL48" s="225"/>
      <c r="AM48" s="229"/>
      <c r="AN48" s="226"/>
      <c r="AO48" s="230"/>
      <c r="AP48" s="230"/>
      <c r="AQ48" s="230"/>
      <c r="AR48" s="230"/>
      <c r="AS48" s="230"/>
      <c r="AT48" s="230"/>
      <c r="AU48" s="230"/>
      <c r="AV48" s="230"/>
      <c r="AW48" s="230"/>
      <c r="AX48" s="230"/>
      <c r="AY48" s="231"/>
    </row>
    <row r="49" spans="1:51">
      <c r="A49" s="210">
        <f t="shared" si="0"/>
        <v>38</v>
      </c>
      <c r="B49" s="211"/>
      <c r="C49" s="48"/>
      <c r="D49" s="42"/>
      <c r="E49" s="42"/>
      <c r="F49" s="42"/>
      <c r="G49" s="42"/>
      <c r="H49" s="42"/>
      <c r="I49" s="42"/>
      <c r="J49" s="42"/>
      <c r="K49" s="44"/>
      <c r="L49" s="48"/>
      <c r="M49" s="42"/>
      <c r="N49" s="42"/>
      <c r="O49" s="42"/>
      <c r="P49" s="42"/>
      <c r="Q49" s="42"/>
      <c r="R49" s="42"/>
      <c r="S49" s="44"/>
      <c r="T49" s="207"/>
      <c r="U49" s="208"/>
      <c r="V49" s="209"/>
      <c r="W49" s="220"/>
      <c r="X49" s="221"/>
      <c r="Y49" s="225"/>
      <c r="Z49" s="226"/>
      <c r="AA49" s="225"/>
      <c r="AB49" s="226"/>
      <c r="AC49" s="43"/>
      <c r="AD49" s="10"/>
      <c r="AE49" s="10"/>
      <c r="AF49" s="10"/>
      <c r="AG49" s="52"/>
      <c r="AH49" s="225"/>
      <c r="AI49" s="226"/>
      <c r="AJ49" s="227"/>
      <c r="AK49" s="228"/>
      <c r="AL49" s="225"/>
      <c r="AM49" s="229"/>
      <c r="AN49" s="226"/>
      <c r="AO49" s="230"/>
      <c r="AP49" s="230"/>
      <c r="AQ49" s="230"/>
      <c r="AR49" s="230"/>
      <c r="AS49" s="230"/>
      <c r="AT49" s="230"/>
      <c r="AU49" s="230"/>
      <c r="AV49" s="230"/>
      <c r="AW49" s="230"/>
      <c r="AX49" s="230"/>
      <c r="AY49" s="231"/>
    </row>
    <row r="50" spans="1:51">
      <c r="A50" s="210">
        <f t="shared" si="0"/>
        <v>39</v>
      </c>
      <c r="B50" s="211"/>
      <c r="C50" s="48"/>
      <c r="D50" s="42"/>
      <c r="E50" s="42"/>
      <c r="F50" s="42"/>
      <c r="G50" s="42"/>
      <c r="H50" s="42"/>
      <c r="I50" s="42"/>
      <c r="J50" s="42"/>
      <c r="K50" s="44"/>
      <c r="L50" s="48"/>
      <c r="M50" s="42"/>
      <c r="N50" s="42"/>
      <c r="O50" s="42"/>
      <c r="P50" s="42"/>
      <c r="Q50" s="42"/>
      <c r="R50" s="42"/>
      <c r="S50" s="44"/>
      <c r="T50" s="207"/>
      <c r="U50" s="208"/>
      <c r="V50" s="209"/>
      <c r="W50" s="220"/>
      <c r="X50" s="221"/>
      <c r="Y50" s="225"/>
      <c r="Z50" s="226"/>
      <c r="AA50" s="225"/>
      <c r="AB50" s="226"/>
      <c r="AC50" s="43"/>
      <c r="AD50" s="10"/>
      <c r="AE50" s="10"/>
      <c r="AF50" s="10"/>
      <c r="AG50" s="52"/>
      <c r="AH50" s="225"/>
      <c r="AI50" s="226"/>
      <c r="AJ50" s="227"/>
      <c r="AK50" s="228"/>
      <c r="AL50" s="225"/>
      <c r="AM50" s="229"/>
      <c r="AN50" s="226"/>
      <c r="AO50" s="230"/>
      <c r="AP50" s="230"/>
      <c r="AQ50" s="230"/>
      <c r="AR50" s="230"/>
      <c r="AS50" s="230"/>
      <c r="AT50" s="230"/>
      <c r="AU50" s="230"/>
      <c r="AV50" s="230"/>
      <c r="AW50" s="230"/>
      <c r="AX50" s="230"/>
      <c r="AY50" s="231"/>
    </row>
    <row r="51" spans="1:51">
      <c r="A51" s="210">
        <f t="shared" si="0"/>
        <v>40</v>
      </c>
      <c r="B51" s="211"/>
      <c r="C51" s="48"/>
      <c r="D51" s="42"/>
      <c r="E51" s="42"/>
      <c r="F51" s="42"/>
      <c r="G51" s="42"/>
      <c r="H51" s="42"/>
      <c r="I51" s="42"/>
      <c r="J51" s="42"/>
      <c r="K51" s="44"/>
      <c r="L51" s="48"/>
      <c r="M51" s="42"/>
      <c r="N51" s="42"/>
      <c r="O51" s="42"/>
      <c r="P51" s="42"/>
      <c r="Q51" s="42"/>
      <c r="R51" s="42"/>
      <c r="S51" s="44"/>
      <c r="T51" s="207"/>
      <c r="U51" s="208"/>
      <c r="V51" s="209"/>
      <c r="W51" s="220"/>
      <c r="X51" s="221"/>
      <c r="Y51" s="225"/>
      <c r="Z51" s="226"/>
      <c r="AA51" s="225"/>
      <c r="AB51" s="226"/>
      <c r="AC51" s="43"/>
      <c r="AD51" s="10"/>
      <c r="AE51" s="10"/>
      <c r="AF51" s="10"/>
      <c r="AG51" s="52"/>
      <c r="AH51" s="225"/>
      <c r="AI51" s="226"/>
      <c r="AJ51" s="227"/>
      <c r="AK51" s="228"/>
      <c r="AL51" s="225"/>
      <c r="AM51" s="229"/>
      <c r="AN51" s="226"/>
      <c r="AO51" s="230"/>
      <c r="AP51" s="230"/>
      <c r="AQ51" s="230"/>
      <c r="AR51" s="230"/>
      <c r="AS51" s="230"/>
      <c r="AT51" s="230"/>
      <c r="AU51" s="230"/>
      <c r="AV51" s="230"/>
      <c r="AW51" s="230"/>
      <c r="AX51" s="230"/>
      <c r="AY51" s="231"/>
    </row>
    <row r="52" spans="1:51">
      <c r="A52" s="210">
        <f t="shared" si="0"/>
        <v>41</v>
      </c>
      <c r="B52" s="211"/>
      <c r="C52" s="48"/>
      <c r="D52" s="42"/>
      <c r="E52" s="42"/>
      <c r="F52" s="42"/>
      <c r="G52" s="42"/>
      <c r="H52" s="42"/>
      <c r="I52" s="42"/>
      <c r="J52" s="42"/>
      <c r="K52" s="44"/>
      <c r="L52" s="48"/>
      <c r="M52" s="42"/>
      <c r="N52" s="42"/>
      <c r="O52" s="42"/>
      <c r="P52" s="42"/>
      <c r="Q52" s="42"/>
      <c r="R52" s="42"/>
      <c r="S52" s="44"/>
      <c r="T52" s="207"/>
      <c r="U52" s="208"/>
      <c r="V52" s="209"/>
      <c r="W52" s="225"/>
      <c r="X52" s="226"/>
      <c r="Y52" s="225"/>
      <c r="Z52" s="226"/>
      <c r="AA52" s="225"/>
      <c r="AB52" s="226"/>
      <c r="AC52" s="43"/>
      <c r="AD52" s="10"/>
      <c r="AE52" s="10"/>
      <c r="AF52" s="10"/>
      <c r="AG52" s="52"/>
      <c r="AH52" s="225"/>
      <c r="AI52" s="226"/>
      <c r="AJ52" s="227"/>
      <c r="AK52" s="228"/>
      <c r="AL52" s="225"/>
      <c r="AM52" s="229"/>
      <c r="AN52" s="226"/>
      <c r="AO52" s="230"/>
      <c r="AP52" s="230"/>
      <c r="AQ52" s="230"/>
      <c r="AR52" s="230"/>
      <c r="AS52" s="230"/>
      <c r="AT52" s="230"/>
      <c r="AU52" s="230"/>
      <c r="AV52" s="230"/>
      <c r="AW52" s="230"/>
      <c r="AX52" s="230"/>
      <c r="AY52" s="231"/>
    </row>
    <row r="53" spans="1:51">
      <c r="A53" s="210">
        <f t="shared" si="0"/>
        <v>42</v>
      </c>
      <c r="B53" s="211"/>
      <c r="C53" s="48"/>
      <c r="D53" s="42"/>
      <c r="E53" s="42"/>
      <c r="F53" s="42"/>
      <c r="G53" s="42"/>
      <c r="H53" s="42"/>
      <c r="I53" s="42"/>
      <c r="J53" s="42"/>
      <c r="K53" s="44"/>
      <c r="L53" s="48"/>
      <c r="M53" s="42"/>
      <c r="N53" s="42"/>
      <c r="O53" s="42"/>
      <c r="P53" s="42"/>
      <c r="Q53" s="42"/>
      <c r="R53" s="42"/>
      <c r="S53" s="44"/>
      <c r="T53" s="207"/>
      <c r="U53" s="208"/>
      <c r="V53" s="209"/>
      <c r="W53" s="225"/>
      <c r="X53" s="226"/>
      <c r="Y53" s="225"/>
      <c r="Z53" s="226"/>
      <c r="AA53" s="225"/>
      <c r="AB53" s="226"/>
      <c r="AC53" s="43"/>
      <c r="AD53" s="10"/>
      <c r="AE53" s="10"/>
      <c r="AF53" s="10"/>
      <c r="AG53" s="52"/>
      <c r="AH53" s="225"/>
      <c r="AI53" s="226"/>
      <c r="AJ53" s="227"/>
      <c r="AK53" s="228"/>
      <c r="AL53" s="225"/>
      <c r="AM53" s="229"/>
      <c r="AN53" s="226"/>
      <c r="AO53" s="230"/>
      <c r="AP53" s="230"/>
      <c r="AQ53" s="230"/>
      <c r="AR53" s="230"/>
      <c r="AS53" s="230"/>
      <c r="AT53" s="230"/>
      <c r="AU53" s="230"/>
      <c r="AV53" s="230"/>
      <c r="AW53" s="230"/>
      <c r="AX53" s="230"/>
      <c r="AY53" s="231"/>
    </row>
    <row r="54" spans="1:51">
      <c r="A54" s="210">
        <f t="shared" si="0"/>
        <v>43</v>
      </c>
      <c r="B54" s="211"/>
      <c r="C54" s="48"/>
      <c r="D54" s="42"/>
      <c r="E54" s="42"/>
      <c r="F54" s="42"/>
      <c r="G54" s="42"/>
      <c r="H54" s="42"/>
      <c r="I54" s="42"/>
      <c r="J54" s="42"/>
      <c r="K54" s="44"/>
      <c r="L54" s="48"/>
      <c r="M54" s="42"/>
      <c r="N54" s="42"/>
      <c r="O54" s="42"/>
      <c r="P54" s="42"/>
      <c r="Q54" s="42"/>
      <c r="R54" s="42"/>
      <c r="S54" s="44"/>
      <c r="T54" s="207"/>
      <c r="U54" s="208"/>
      <c r="V54" s="209"/>
      <c r="W54" s="225"/>
      <c r="X54" s="226"/>
      <c r="Y54" s="225"/>
      <c r="Z54" s="226"/>
      <c r="AA54" s="225"/>
      <c r="AB54" s="226"/>
      <c r="AC54" s="43"/>
      <c r="AD54" s="10"/>
      <c r="AE54" s="10"/>
      <c r="AF54" s="10"/>
      <c r="AG54" s="52"/>
      <c r="AH54" s="225"/>
      <c r="AI54" s="226"/>
      <c r="AJ54" s="227"/>
      <c r="AK54" s="228"/>
      <c r="AL54" s="225"/>
      <c r="AM54" s="229"/>
      <c r="AN54" s="226"/>
      <c r="AO54" s="230"/>
      <c r="AP54" s="230"/>
      <c r="AQ54" s="230"/>
      <c r="AR54" s="230"/>
      <c r="AS54" s="230"/>
      <c r="AT54" s="230"/>
      <c r="AU54" s="230"/>
      <c r="AV54" s="230"/>
      <c r="AW54" s="230"/>
      <c r="AX54" s="230"/>
      <c r="AY54" s="231"/>
    </row>
  </sheetData>
  <mergeCells count="455">
    <mergeCell ref="AO1:AS1"/>
    <mergeCell ref="AT1:AW1"/>
    <mergeCell ref="AX1:AY1"/>
    <mergeCell ref="G2:K2"/>
    <mergeCell ref="AC2:AE5"/>
    <mergeCell ref="AF2:AH5"/>
    <mergeCell ref="AI2:AK2"/>
    <mergeCell ref="AL2:AN2"/>
    <mergeCell ref="AO2:AS2"/>
    <mergeCell ref="AT2:AW2"/>
    <mergeCell ref="G1:K1"/>
    <mergeCell ref="AC1:AE1"/>
    <mergeCell ref="AF1:AH1"/>
    <mergeCell ref="AI1:AK1"/>
    <mergeCell ref="AL1:AN1"/>
    <mergeCell ref="A6:F8"/>
    <mergeCell ref="G6:K6"/>
    <mergeCell ref="L6:AB6"/>
    <mergeCell ref="AC6:AG6"/>
    <mergeCell ref="AH6:AY6"/>
    <mergeCell ref="AX2:AY5"/>
    <mergeCell ref="G3:K3"/>
    <mergeCell ref="AI3:AK3"/>
    <mergeCell ref="AL3:AN3"/>
    <mergeCell ref="AO3:AS3"/>
    <mergeCell ref="AT3:AW3"/>
    <mergeCell ref="G4:K4"/>
    <mergeCell ref="AI4:AK5"/>
    <mergeCell ref="AL4:AN4"/>
    <mergeCell ref="AO4:AS4"/>
    <mergeCell ref="A1:F5"/>
    <mergeCell ref="G7:K7"/>
    <mergeCell ref="L7:AB7"/>
    <mergeCell ref="AC7:AG7"/>
    <mergeCell ref="AH7:AY7"/>
    <mergeCell ref="G8:K8"/>
    <mergeCell ref="L8:AB8"/>
    <mergeCell ref="AC8:AG8"/>
    <mergeCell ref="AH8:AY8"/>
    <mergeCell ref="AT4:AW4"/>
    <mergeCell ref="G5:K5"/>
    <mergeCell ref="AL5:AN5"/>
    <mergeCell ref="AO5:AS5"/>
    <mergeCell ref="AT5:AW5"/>
    <mergeCell ref="AA10:AB10"/>
    <mergeCell ref="AC10:AG10"/>
    <mergeCell ref="AH10:AI10"/>
    <mergeCell ref="AJ10:AK11"/>
    <mergeCell ref="AL10:AN11"/>
    <mergeCell ref="AO10:AY11"/>
    <mergeCell ref="AA11:AB11"/>
    <mergeCell ref="AH11:AI11"/>
    <mergeCell ref="A10:B11"/>
    <mergeCell ref="C10:K11"/>
    <mergeCell ref="L10:S11"/>
    <mergeCell ref="T10:V11"/>
    <mergeCell ref="W10:X11"/>
    <mergeCell ref="Y10:Z11"/>
    <mergeCell ref="A13:B13"/>
    <mergeCell ref="L13:S13"/>
    <mergeCell ref="T13:V13"/>
    <mergeCell ref="W13:X13"/>
    <mergeCell ref="A12:B12"/>
    <mergeCell ref="L12:S12"/>
    <mergeCell ref="T12:V12"/>
    <mergeCell ref="W12:X12"/>
    <mergeCell ref="Y13:Z13"/>
    <mergeCell ref="AA13:AB13"/>
    <mergeCell ref="AH13:AI13"/>
    <mergeCell ref="AJ13:AK13"/>
    <mergeCell ref="AL13:AN13"/>
    <mergeCell ref="AO13:AY13"/>
    <mergeCell ref="AA12:AB12"/>
    <mergeCell ref="AH12:AI12"/>
    <mergeCell ref="AJ12:AK12"/>
    <mergeCell ref="AL12:AN12"/>
    <mergeCell ref="AO12:AY12"/>
    <mergeCell ref="Y12:Z12"/>
    <mergeCell ref="A15:B15"/>
    <mergeCell ref="L15:S15"/>
    <mergeCell ref="T15:V15"/>
    <mergeCell ref="W15:X15"/>
    <mergeCell ref="A14:B14"/>
    <mergeCell ref="L14:S14"/>
    <mergeCell ref="T14:V14"/>
    <mergeCell ref="W14:X14"/>
    <mergeCell ref="Y15:Z15"/>
    <mergeCell ref="AA15:AB15"/>
    <mergeCell ref="AH15:AI15"/>
    <mergeCell ref="AJ15:AK15"/>
    <mergeCell ref="AL15:AN15"/>
    <mergeCell ref="AO15:AY15"/>
    <mergeCell ref="AA14:AB14"/>
    <mergeCell ref="AH14:AI14"/>
    <mergeCell ref="AJ14:AK14"/>
    <mergeCell ref="AL14:AN14"/>
    <mergeCell ref="AO14:AY14"/>
    <mergeCell ref="Y14:Z14"/>
    <mergeCell ref="A17:B17"/>
    <mergeCell ref="L17:S17"/>
    <mergeCell ref="T17:V17"/>
    <mergeCell ref="W17:X17"/>
    <mergeCell ref="A16:B16"/>
    <mergeCell ref="L16:S16"/>
    <mergeCell ref="T16:V16"/>
    <mergeCell ref="W16:X16"/>
    <mergeCell ref="Y17:Z17"/>
    <mergeCell ref="AA17:AB17"/>
    <mergeCell ref="AH17:AI17"/>
    <mergeCell ref="AJ17:AK17"/>
    <mergeCell ref="AL17:AN17"/>
    <mergeCell ref="AO17:AY17"/>
    <mergeCell ref="AA16:AB16"/>
    <mergeCell ref="AH16:AI16"/>
    <mergeCell ref="AJ16:AK16"/>
    <mergeCell ref="AL16:AN16"/>
    <mergeCell ref="AO16:AY16"/>
    <mergeCell ref="Y16:Z16"/>
    <mergeCell ref="A19:B19"/>
    <mergeCell ref="L19:S19"/>
    <mergeCell ref="T19:V19"/>
    <mergeCell ref="W19:X19"/>
    <mergeCell ref="A18:B18"/>
    <mergeCell ref="L18:S18"/>
    <mergeCell ref="T18:V18"/>
    <mergeCell ref="W18:X18"/>
    <mergeCell ref="Y19:Z19"/>
    <mergeCell ref="AA19:AB19"/>
    <mergeCell ref="AH19:AI19"/>
    <mergeCell ref="AJ19:AK19"/>
    <mergeCell ref="AL19:AN19"/>
    <mergeCell ref="AO19:AY19"/>
    <mergeCell ref="AA18:AB18"/>
    <mergeCell ref="AH18:AI18"/>
    <mergeCell ref="AJ18:AK18"/>
    <mergeCell ref="AL18:AN18"/>
    <mergeCell ref="AO18:AY18"/>
    <mergeCell ref="Y18:Z18"/>
    <mergeCell ref="A21:B21"/>
    <mergeCell ref="L21:S21"/>
    <mergeCell ref="T21:V21"/>
    <mergeCell ref="W21:X21"/>
    <mergeCell ref="A20:B20"/>
    <mergeCell ref="L20:S20"/>
    <mergeCell ref="T20:V20"/>
    <mergeCell ref="W20:X20"/>
    <mergeCell ref="Y21:Z21"/>
    <mergeCell ref="AA21:AB21"/>
    <mergeCell ref="AH21:AI21"/>
    <mergeCell ref="AJ21:AK21"/>
    <mergeCell ref="AL21:AN21"/>
    <mergeCell ref="AO21:AY21"/>
    <mergeCell ref="AA20:AB20"/>
    <mergeCell ref="AH20:AI20"/>
    <mergeCell ref="AJ20:AK20"/>
    <mergeCell ref="AL20:AN20"/>
    <mergeCell ref="AO20:AY20"/>
    <mergeCell ref="Y20:Z20"/>
    <mergeCell ref="AJ22:AK22"/>
    <mergeCell ref="AL22:AN22"/>
    <mergeCell ref="AO22:AY22"/>
    <mergeCell ref="A23:B23"/>
    <mergeCell ref="T23:V23"/>
    <mergeCell ref="W23:X23"/>
    <mergeCell ref="Y23:Z23"/>
    <mergeCell ref="AA23:AB23"/>
    <mergeCell ref="AH23:AI23"/>
    <mergeCell ref="AJ23:AK23"/>
    <mergeCell ref="A22:B22"/>
    <mergeCell ref="T22:V22"/>
    <mergeCell ref="W22:X22"/>
    <mergeCell ref="Y22:Z22"/>
    <mergeCell ref="AA22:AB22"/>
    <mergeCell ref="AH22:AI22"/>
    <mergeCell ref="AL23:AN23"/>
    <mergeCell ref="AO23:AY23"/>
    <mergeCell ref="A24:B24"/>
    <mergeCell ref="T24:V24"/>
    <mergeCell ref="W24:X24"/>
    <mergeCell ref="Y24:Z24"/>
    <mergeCell ref="AA24:AB24"/>
    <mergeCell ref="AH24:AI24"/>
    <mergeCell ref="AJ24:AK24"/>
    <mergeCell ref="AL24:AN24"/>
    <mergeCell ref="AO24:AY24"/>
    <mergeCell ref="A25:B25"/>
    <mergeCell ref="T25:V25"/>
    <mergeCell ref="W25:X25"/>
    <mergeCell ref="Y25:Z25"/>
    <mergeCell ref="AA25:AB25"/>
    <mergeCell ref="AH25:AI25"/>
    <mergeCell ref="AJ25:AK25"/>
    <mergeCell ref="AL25:AN25"/>
    <mergeCell ref="AO25:AY25"/>
    <mergeCell ref="AJ26:AK26"/>
    <mergeCell ref="AL26:AN26"/>
    <mergeCell ref="AO26:AY26"/>
    <mergeCell ref="A27:B27"/>
    <mergeCell ref="T27:V27"/>
    <mergeCell ref="W27:X27"/>
    <mergeCell ref="Y27:Z27"/>
    <mergeCell ref="AA27:AB27"/>
    <mergeCell ref="AH27:AI27"/>
    <mergeCell ref="AJ27:AK27"/>
    <mergeCell ref="A26:B26"/>
    <mergeCell ref="T26:V26"/>
    <mergeCell ref="W26:X26"/>
    <mergeCell ref="Y26:Z26"/>
    <mergeCell ref="AA26:AB26"/>
    <mergeCell ref="AH26:AI26"/>
    <mergeCell ref="AL27:AN27"/>
    <mergeCell ref="AO27:AY27"/>
    <mergeCell ref="A28:B28"/>
    <mergeCell ref="T28:V28"/>
    <mergeCell ref="W28:X28"/>
    <mergeCell ref="Y28:Z28"/>
    <mergeCell ref="AA28:AB28"/>
    <mergeCell ref="AH28:AI28"/>
    <mergeCell ref="AJ28:AK28"/>
    <mergeCell ref="AL28:AN28"/>
    <mergeCell ref="AO28:AY28"/>
    <mergeCell ref="A29:B29"/>
    <mergeCell ref="T29:V29"/>
    <mergeCell ref="W29:X29"/>
    <mergeCell ref="Y29:Z29"/>
    <mergeCell ref="AA29:AB29"/>
    <mergeCell ref="AH29:AI29"/>
    <mergeCell ref="AJ29:AK29"/>
    <mergeCell ref="AL29:AN29"/>
    <mergeCell ref="AO29:AY29"/>
    <mergeCell ref="AJ30:AK30"/>
    <mergeCell ref="AL30:AN30"/>
    <mergeCell ref="AO30:AY30"/>
    <mergeCell ref="A31:B31"/>
    <mergeCell ref="T31:V31"/>
    <mergeCell ref="W31:X31"/>
    <mergeCell ref="Y31:Z31"/>
    <mergeCell ref="AA31:AB31"/>
    <mergeCell ref="AH31:AI31"/>
    <mergeCell ref="AJ31:AK31"/>
    <mergeCell ref="A30:B30"/>
    <mergeCell ref="T30:V30"/>
    <mergeCell ref="W30:X30"/>
    <mergeCell ref="Y30:Z30"/>
    <mergeCell ref="AA30:AB30"/>
    <mergeCell ref="AH30:AI30"/>
    <mergeCell ref="AL31:AN31"/>
    <mergeCell ref="AO31:AY31"/>
    <mergeCell ref="A32:B32"/>
    <mergeCell ref="T32:V32"/>
    <mergeCell ref="W32:X32"/>
    <mergeCell ref="Y32:Z32"/>
    <mergeCell ref="AA32:AB32"/>
    <mergeCell ref="AH32:AI32"/>
    <mergeCell ref="AJ32:AK32"/>
    <mergeCell ref="AL32:AN32"/>
    <mergeCell ref="AO32:AY32"/>
    <mergeCell ref="A33:B33"/>
    <mergeCell ref="T33:V33"/>
    <mergeCell ref="W33:X33"/>
    <mergeCell ref="Y33:Z33"/>
    <mergeCell ref="AA33:AB33"/>
    <mergeCell ref="AH33:AI33"/>
    <mergeCell ref="AJ33:AK33"/>
    <mergeCell ref="AL33:AN33"/>
    <mergeCell ref="AO33:AY33"/>
    <mergeCell ref="AJ34:AK34"/>
    <mergeCell ref="AL34:AN34"/>
    <mergeCell ref="AO34:AY34"/>
    <mergeCell ref="A35:B35"/>
    <mergeCell ref="T35:V35"/>
    <mergeCell ref="W35:X35"/>
    <mergeCell ref="Y35:Z35"/>
    <mergeCell ref="AA35:AB35"/>
    <mergeCell ref="AH35:AI35"/>
    <mergeCell ref="AJ35:AK35"/>
    <mergeCell ref="A34:B34"/>
    <mergeCell ref="T34:V34"/>
    <mergeCell ref="W34:X34"/>
    <mergeCell ref="Y34:Z34"/>
    <mergeCell ref="AA34:AB34"/>
    <mergeCell ref="AH34:AI34"/>
    <mergeCell ref="AL35:AN35"/>
    <mergeCell ref="AO35:AY35"/>
    <mergeCell ref="A36:B36"/>
    <mergeCell ref="T36:V36"/>
    <mergeCell ref="W36:X36"/>
    <mergeCell ref="Y36:Z36"/>
    <mergeCell ref="AA36:AB36"/>
    <mergeCell ref="AH36:AI36"/>
    <mergeCell ref="AJ36:AK36"/>
    <mergeCell ref="AL36:AN36"/>
    <mergeCell ref="AO36:AY36"/>
    <mergeCell ref="A37:B37"/>
    <mergeCell ref="T37:V37"/>
    <mergeCell ref="W37:X37"/>
    <mergeCell ref="Y37:Z37"/>
    <mergeCell ref="AA37:AB37"/>
    <mergeCell ref="AH37:AI37"/>
    <mergeCell ref="AJ37:AK37"/>
    <mergeCell ref="AL37:AN37"/>
    <mergeCell ref="AO37:AY37"/>
    <mergeCell ref="AJ38:AK38"/>
    <mergeCell ref="AL38:AN38"/>
    <mergeCell ref="AO38:AY38"/>
    <mergeCell ref="A39:B39"/>
    <mergeCell ref="T39:V39"/>
    <mergeCell ref="W39:X39"/>
    <mergeCell ref="Y39:Z39"/>
    <mergeCell ref="AA39:AB39"/>
    <mergeCell ref="AH39:AI39"/>
    <mergeCell ref="AJ39:AK39"/>
    <mergeCell ref="A38:B38"/>
    <mergeCell ref="T38:V38"/>
    <mergeCell ref="W38:X38"/>
    <mergeCell ref="Y38:Z38"/>
    <mergeCell ref="AA38:AB38"/>
    <mergeCell ref="AH38:AI38"/>
    <mergeCell ref="AL39:AN39"/>
    <mergeCell ref="AO39:AY39"/>
    <mergeCell ref="A40:B40"/>
    <mergeCell ref="T40:V40"/>
    <mergeCell ref="W40:X40"/>
    <mergeCell ref="Y40:Z40"/>
    <mergeCell ref="AA40:AB40"/>
    <mergeCell ref="AH40:AI40"/>
    <mergeCell ref="AJ40:AK40"/>
    <mergeCell ref="AL40:AN40"/>
    <mergeCell ref="AO40:AY40"/>
    <mergeCell ref="A41:B41"/>
    <mergeCell ref="T41:V41"/>
    <mergeCell ref="W41:X41"/>
    <mergeCell ref="Y41:Z41"/>
    <mergeCell ref="AA41:AB41"/>
    <mergeCell ref="AH41:AI41"/>
    <mergeCell ref="AJ41:AK41"/>
    <mergeCell ref="AL41:AN41"/>
    <mergeCell ref="AO41:AY41"/>
    <mergeCell ref="AJ42:AK42"/>
    <mergeCell ref="AL42:AN42"/>
    <mergeCell ref="AO42:AY42"/>
    <mergeCell ref="A43:B43"/>
    <mergeCell ref="T43:V43"/>
    <mergeCell ref="W43:X43"/>
    <mergeCell ref="Y43:Z43"/>
    <mergeCell ref="AA43:AB43"/>
    <mergeCell ref="AH43:AI43"/>
    <mergeCell ref="AJ43:AK43"/>
    <mergeCell ref="A42:B42"/>
    <mergeCell ref="T42:V42"/>
    <mergeCell ref="W42:X42"/>
    <mergeCell ref="Y42:Z42"/>
    <mergeCell ref="AA42:AB42"/>
    <mergeCell ref="AH42:AI42"/>
    <mergeCell ref="AL43:AN43"/>
    <mergeCell ref="AO43:AY43"/>
    <mergeCell ref="A44:B44"/>
    <mergeCell ref="T44:V44"/>
    <mergeCell ref="W44:X44"/>
    <mergeCell ref="Y44:Z44"/>
    <mergeCell ref="AA44:AB44"/>
    <mergeCell ref="AH44:AI44"/>
    <mergeCell ref="AJ44:AK44"/>
    <mergeCell ref="AL44:AN44"/>
    <mergeCell ref="AO44:AY44"/>
    <mergeCell ref="A45:B45"/>
    <mergeCell ref="T45:V45"/>
    <mergeCell ref="W45:X45"/>
    <mergeCell ref="Y45:Z45"/>
    <mergeCell ref="AA45:AB45"/>
    <mergeCell ref="AH45:AI45"/>
    <mergeCell ref="AJ45:AK45"/>
    <mergeCell ref="AL45:AN45"/>
    <mergeCell ref="AO45:AY45"/>
    <mergeCell ref="AJ46:AK46"/>
    <mergeCell ref="AL46:AN46"/>
    <mergeCell ref="AO46:AY46"/>
    <mergeCell ref="A47:B47"/>
    <mergeCell ref="T47:V47"/>
    <mergeCell ref="W47:X47"/>
    <mergeCell ref="Y47:Z47"/>
    <mergeCell ref="AA47:AB47"/>
    <mergeCell ref="AH47:AI47"/>
    <mergeCell ref="AJ47:AK47"/>
    <mergeCell ref="A46:B46"/>
    <mergeCell ref="T46:V46"/>
    <mergeCell ref="W46:X46"/>
    <mergeCell ref="Y46:Z46"/>
    <mergeCell ref="AA46:AB46"/>
    <mergeCell ref="AH46:AI46"/>
    <mergeCell ref="AL47:AN47"/>
    <mergeCell ref="AO47:AY47"/>
    <mergeCell ref="A48:B48"/>
    <mergeCell ref="T48:V48"/>
    <mergeCell ref="W48:X48"/>
    <mergeCell ref="Y48:Z48"/>
    <mergeCell ref="AA48:AB48"/>
    <mergeCell ref="AH48:AI48"/>
    <mergeCell ref="AJ48:AK48"/>
    <mergeCell ref="AL48:AN48"/>
    <mergeCell ref="AO48:AY48"/>
    <mergeCell ref="A49:B49"/>
    <mergeCell ref="T49:V49"/>
    <mergeCell ref="W49:X49"/>
    <mergeCell ref="Y49:Z49"/>
    <mergeCell ref="AA49:AB49"/>
    <mergeCell ref="AH49:AI49"/>
    <mergeCell ref="AJ49:AK49"/>
    <mergeCell ref="AL49:AN49"/>
    <mergeCell ref="AO49:AY49"/>
    <mergeCell ref="AJ50:AK50"/>
    <mergeCell ref="AL50:AN50"/>
    <mergeCell ref="AO50:AY50"/>
    <mergeCell ref="A51:B51"/>
    <mergeCell ref="T51:V51"/>
    <mergeCell ref="W51:X51"/>
    <mergeCell ref="Y51:Z51"/>
    <mergeCell ref="AA51:AB51"/>
    <mergeCell ref="AH51:AI51"/>
    <mergeCell ref="AJ51:AK51"/>
    <mergeCell ref="A50:B50"/>
    <mergeCell ref="T50:V50"/>
    <mergeCell ref="W50:X50"/>
    <mergeCell ref="Y50:Z50"/>
    <mergeCell ref="AA50:AB50"/>
    <mergeCell ref="AH50:AI50"/>
    <mergeCell ref="AL51:AN51"/>
    <mergeCell ref="AO51:AY51"/>
    <mergeCell ref="A52:B52"/>
    <mergeCell ref="T52:V52"/>
    <mergeCell ref="W52:X52"/>
    <mergeCell ref="Y52:Z52"/>
    <mergeCell ref="AA52:AB52"/>
    <mergeCell ref="AH52:AI52"/>
    <mergeCell ref="AJ52:AK52"/>
    <mergeCell ref="AL52:AN52"/>
    <mergeCell ref="AO52:AY52"/>
    <mergeCell ref="A53:B53"/>
    <mergeCell ref="T53:V53"/>
    <mergeCell ref="W53:X53"/>
    <mergeCell ref="Y53:Z53"/>
    <mergeCell ref="AA53:AB53"/>
    <mergeCell ref="AH53:AI53"/>
    <mergeCell ref="AJ53:AK53"/>
    <mergeCell ref="AL53:AN53"/>
    <mergeCell ref="AO53:AY53"/>
    <mergeCell ref="AJ54:AK54"/>
    <mergeCell ref="AL54:AN54"/>
    <mergeCell ref="AO54:AY54"/>
    <mergeCell ref="A54:B54"/>
    <mergeCell ref="T54:V54"/>
    <mergeCell ref="W54:X54"/>
    <mergeCell ref="Y54:Z54"/>
    <mergeCell ref="AA54:AB54"/>
    <mergeCell ref="AH54:AI54"/>
  </mergeCells>
  <phoneticPr fontId="23"/>
  <dataValidations count="1">
    <dataValidation type="list" allowBlank="1" showInputMessage="1" showErrorMessage="1" sqref="T54:V54 T50:T53 T12:V49" xr:uid="{8E57E818-D99B-486D-8491-1551BC3F04A6}">
      <formula1>型候補</formula1>
    </dataValidation>
  </dataValidations>
  <hyperlinks>
    <hyperlink ref="A1:F5" location="テーブル一覧!A1" display="テーブル一覧!A1" xr:uid="{028A5680-04B9-4A41-9053-BAF85247598F}"/>
  </hyperlinks>
  <pageMargins left="0.70866141732283472" right="0.70866141732283472" top="0.74803149606299213" bottom="0.74803149606299213" header="0.31496062992125984" footer="0.31496062992125984"/>
  <pageSetup paperSize="9" scale="83" fitToHeight="0" orientation="landscape" horizontalDpi="4294967294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09BB02-2097-4A8E-8CB1-2A9DF001E50C}">
  <sheetPr codeName="Sheet37">
    <pageSetUpPr fitToPage="1"/>
  </sheetPr>
  <dimension ref="A1:AY54"/>
  <sheetViews>
    <sheetView view="pageBreakPreview" zoomScaleNormal="100" zoomScaleSheetLayoutView="100" workbookViewId="0">
      <selection sqref="A1:F5"/>
    </sheetView>
  </sheetViews>
  <sheetFormatPr defaultColWidth="3.83203125" defaultRowHeight="12"/>
  <cols>
    <col min="1" max="1" width="3.83203125" style="7" customWidth="1"/>
    <col min="2" max="3" width="3.83203125" style="8"/>
    <col min="4" max="49" width="3.83203125" style="7"/>
    <col min="50" max="50" width="4" style="7" customWidth="1"/>
    <col min="51" max="16384" width="3.83203125" style="7"/>
  </cols>
  <sheetData>
    <row r="1" spans="1:51" s="2" customFormat="1">
      <c r="A1" s="162" t="str">
        <f>L5</f>
        <v>テーブル定義書</v>
      </c>
      <c r="B1" s="163"/>
      <c r="C1" s="163"/>
      <c r="D1" s="163"/>
      <c r="E1" s="163"/>
      <c r="F1" s="164"/>
      <c r="G1" s="123" t="s">
        <v>59</v>
      </c>
      <c r="H1" s="113"/>
      <c r="I1" s="113"/>
      <c r="J1" s="113"/>
      <c r="K1" s="113"/>
      <c r="L1" s="1">
        <f>表紙!B8</f>
        <v>0</v>
      </c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24"/>
      <c r="AD1" s="124"/>
      <c r="AE1" s="124"/>
      <c r="AF1" s="124"/>
      <c r="AG1" s="124"/>
      <c r="AH1" s="124"/>
      <c r="AI1" s="113" t="s">
        <v>60</v>
      </c>
      <c r="AJ1" s="113"/>
      <c r="AK1" s="113"/>
      <c r="AL1" s="113" t="s">
        <v>61</v>
      </c>
      <c r="AM1" s="113"/>
      <c r="AN1" s="113"/>
      <c r="AO1" s="113" t="s">
        <v>62</v>
      </c>
      <c r="AP1" s="113"/>
      <c r="AQ1" s="113"/>
      <c r="AR1" s="113"/>
      <c r="AS1" s="113"/>
      <c r="AT1" s="113" t="s">
        <v>55</v>
      </c>
      <c r="AU1" s="113"/>
      <c r="AV1" s="113"/>
      <c r="AW1" s="113"/>
      <c r="AX1" s="113" t="s">
        <v>63</v>
      </c>
      <c r="AY1" s="114"/>
    </row>
    <row r="2" spans="1:51" s="2" customFormat="1">
      <c r="A2" s="165"/>
      <c r="B2" s="166"/>
      <c r="C2" s="166"/>
      <c r="D2" s="166"/>
      <c r="E2" s="166"/>
      <c r="F2" s="167"/>
      <c r="G2" s="115" t="s">
        <v>64</v>
      </c>
      <c r="H2" s="116"/>
      <c r="I2" s="116"/>
      <c r="J2" s="116"/>
      <c r="K2" s="116"/>
      <c r="L2" s="3">
        <f>表紙!M8</f>
        <v>0</v>
      </c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117"/>
      <c r="AD2" s="117"/>
      <c r="AE2" s="117"/>
      <c r="AF2" s="117"/>
      <c r="AG2" s="117"/>
      <c r="AH2" s="117"/>
      <c r="AI2" s="119" t="s">
        <v>65</v>
      </c>
      <c r="AJ2" s="119"/>
      <c r="AK2" s="119"/>
      <c r="AL2" s="120" t="s">
        <v>73</v>
      </c>
      <c r="AM2" s="120"/>
      <c r="AN2" s="120"/>
      <c r="AO2" s="121"/>
      <c r="AP2" s="121"/>
      <c r="AQ2" s="122"/>
      <c r="AR2" s="122"/>
      <c r="AS2" s="122"/>
      <c r="AT2" s="122"/>
      <c r="AU2" s="122"/>
      <c r="AV2" s="122"/>
      <c r="AW2" s="122"/>
      <c r="AX2" s="150" t="s">
        <v>74</v>
      </c>
      <c r="AY2" s="151"/>
    </row>
    <row r="3" spans="1:51" s="2" customFormat="1">
      <c r="A3" s="165"/>
      <c r="B3" s="166"/>
      <c r="C3" s="166"/>
      <c r="D3" s="166"/>
      <c r="E3" s="166"/>
      <c r="F3" s="167"/>
      <c r="G3" s="154" t="s">
        <v>66</v>
      </c>
      <c r="H3" s="119"/>
      <c r="I3" s="119"/>
      <c r="J3" s="119"/>
      <c r="K3" s="119"/>
      <c r="L3" s="4" t="s">
        <v>76</v>
      </c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117"/>
      <c r="AD3" s="117"/>
      <c r="AE3" s="117"/>
      <c r="AF3" s="117"/>
      <c r="AG3" s="117"/>
      <c r="AH3" s="117"/>
      <c r="AI3" s="155" t="s">
        <v>67</v>
      </c>
      <c r="AJ3" s="155"/>
      <c r="AK3" s="155"/>
      <c r="AL3" s="156"/>
      <c r="AM3" s="156"/>
      <c r="AN3" s="156"/>
      <c r="AO3" s="157" t="str">
        <f>IF( $AL3 &lt;&gt; "", VLOOKUP( $AL3, 表紙!$B$15:$AE$47, 5, FALSE ), "" )</f>
        <v/>
      </c>
      <c r="AP3" s="157"/>
      <c r="AQ3" s="158"/>
      <c r="AR3" s="158"/>
      <c r="AS3" s="158"/>
      <c r="AT3" s="158" t="str">
        <f>IF( $AL3 &lt;&gt; "", VLOOKUP( $AL3, 表紙!$B$15:$AE$47, 28, FALSE ), "" )</f>
        <v/>
      </c>
      <c r="AU3" s="158"/>
      <c r="AV3" s="158"/>
      <c r="AW3" s="158"/>
      <c r="AX3" s="150"/>
      <c r="AY3" s="151"/>
    </row>
    <row r="4" spans="1:51" s="2" customFormat="1">
      <c r="A4" s="165"/>
      <c r="B4" s="166"/>
      <c r="C4" s="166"/>
      <c r="D4" s="166"/>
      <c r="E4" s="166"/>
      <c r="F4" s="167"/>
      <c r="G4" s="159" t="s">
        <v>75</v>
      </c>
      <c r="H4" s="155"/>
      <c r="I4" s="155"/>
      <c r="J4" s="155"/>
      <c r="K4" s="15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117"/>
      <c r="AD4" s="117"/>
      <c r="AE4" s="117"/>
      <c r="AF4" s="117"/>
      <c r="AG4" s="117"/>
      <c r="AH4" s="117"/>
      <c r="AI4" s="155" t="s">
        <v>68</v>
      </c>
      <c r="AJ4" s="155"/>
      <c r="AK4" s="155"/>
      <c r="AL4" s="156"/>
      <c r="AM4" s="156"/>
      <c r="AN4" s="156"/>
      <c r="AO4" s="160"/>
      <c r="AP4" s="160"/>
      <c r="AQ4" s="161"/>
      <c r="AR4" s="161"/>
      <c r="AS4" s="161"/>
      <c r="AT4" s="125"/>
      <c r="AU4" s="125"/>
      <c r="AV4" s="125"/>
      <c r="AW4" s="125"/>
      <c r="AX4" s="150"/>
      <c r="AY4" s="151"/>
    </row>
    <row r="5" spans="1:51" s="2" customFormat="1" ht="12.75" thickBot="1">
      <c r="A5" s="168"/>
      <c r="B5" s="169"/>
      <c r="C5" s="169"/>
      <c r="D5" s="169"/>
      <c r="E5" s="169"/>
      <c r="F5" s="170"/>
      <c r="G5" s="126" t="s">
        <v>0</v>
      </c>
      <c r="H5" s="127"/>
      <c r="I5" s="127"/>
      <c r="J5" s="127"/>
      <c r="K5" s="127"/>
      <c r="L5" s="6" t="s">
        <v>87</v>
      </c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118"/>
      <c r="AD5" s="118"/>
      <c r="AE5" s="118"/>
      <c r="AF5" s="118"/>
      <c r="AG5" s="118"/>
      <c r="AH5" s="118"/>
      <c r="AI5" s="127"/>
      <c r="AJ5" s="127"/>
      <c r="AK5" s="127"/>
      <c r="AL5" s="128"/>
      <c r="AM5" s="128"/>
      <c r="AN5" s="128"/>
      <c r="AO5" s="129"/>
      <c r="AP5" s="129"/>
      <c r="AQ5" s="130"/>
      <c r="AR5" s="130"/>
      <c r="AS5" s="130"/>
      <c r="AT5" s="131"/>
      <c r="AU5" s="131"/>
      <c r="AV5" s="131"/>
      <c r="AW5" s="131"/>
      <c r="AX5" s="152"/>
      <c r="AY5" s="153"/>
    </row>
    <row r="6" spans="1:51" s="2" customFormat="1">
      <c r="A6" s="132" t="s">
        <v>1</v>
      </c>
      <c r="B6" s="133"/>
      <c r="C6" s="133"/>
      <c r="D6" s="133"/>
      <c r="E6" s="133"/>
      <c r="F6" s="134"/>
      <c r="G6" s="141" t="s">
        <v>10</v>
      </c>
      <c r="H6" s="142"/>
      <c r="I6" s="142"/>
      <c r="J6" s="142"/>
      <c r="K6" s="142"/>
      <c r="L6" s="143"/>
      <c r="M6" s="144"/>
      <c r="N6" s="144"/>
      <c r="O6" s="144"/>
      <c r="P6" s="144"/>
      <c r="Q6" s="144"/>
      <c r="R6" s="144"/>
      <c r="S6" s="144"/>
      <c r="T6" s="144"/>
      <c r="U6" s="144"/>
      <c r="V6" s="144"/>
      <c r="W6" s="144"/>
      <c r="X6" s="144"/>
      <c r="Y6" s="144"/>
      <c r="Z6" s="144"/>
      <c r="AA6" s="144"/>
      <c r="AB6" s="145"/>
      <c r="AC6" s="146" t="s">
        <v>14</v>
      </c>
      <c r="AD6" s="142"/>
      <c r="AE6" s="142"/>
      <c r="AF6" s="142"/>
      <c r="AG6" s="142"/>
      <c r="AH6" s="147" t="s">
        <v>79</v>
      </c>
      <c r="AI6" s="148"/>
      <c r="AJ6" s="148"/>
      <c r="AK6" s="148"/>
      <c r="AL6" s="148"/>
      <c r="AM6" s="148"/>
      <c r="AN6" s="148"/>
      <c r="AO6" s="148"/>
      <c r="AP6" s="148"/>
      <c r="AQ6" s="148"/>
      <c r="AR6" s="148"/>
      <c r="AS6" s="148"/>
      <c r="AT6" s="148"/>
      <c r="AU6" s="148"/>
      <c r="AV6" s="148"/>
      <c r="AW6" s="148"/>
      <c r="AX6" s="148"/>
      <c r="AY6" s="149"/>
    </row>
    <row r="7" spans="1:51" s="2" customFormat="1">
      <c r="A7" s="135"/>
      <c r="B7" s="136"/>
      <c r="C7" s="136"/>
      <c r="D7" s="136"/>
      <c r="E7" s="136"/>
      <c r="F7" s="137"/>
      <c r="G7" s="171" t="s">
        <v>11</v>
      </c>
      <c r="H7" s="155"/>
      <c r="I7" s="155"/>
      <c r="J7" s="155"/>
      <c r="K7" s="155"/>
      <c r="L7" s="172" t="s">
        <v>143</v>
      </c>
      <c r="M7" s="173"/>
      <c r="N7" s="173"/>
      <c r="O7" s="173"/>
      <c r="P7" s="173"/>
      <c r="Q7" s="173"/>
      <c r="R7" s="173"/>
      <c r="S7" s="173"/>
      <c r="T7" s="173"/>
      <c r="U7" s="173"/>
      <c r="V7" s="173"/>
      <c r="W7" s="173"/>
      <c r="X7" s="173"/>
      <c r="Y7" s="173"/>
      <c r="Z7" s="173"/>
      <c r="AA7" s="173"/>
      <c r="AB7" s="174"/>
      <c r="AC7" s="159" t="s">
        <v>13</v>
      </c>
      <c r="AD7" s="155"/>
      <c r="AE7" s="155"/>
      <c r="AF7" s="155"/>
      <c r="AG7" s="155"/>
      <c r="AH7" s="172" t="s">
        <v>143</v>
      </c>
      <c r="AI7" s="173"/>
      <c r="AJ7" s="173"/>
      <c r="AK7" s="173"/>
      <c r="AL7" s="173"/>
      <c r="AM7" s="173"/>
      <c r="AN7" s="173"/>
      <c r="AO7" s="173"/>
      <c r="AP7" s="173"/>
      <c r="AQ7" s="173"/>
      <c r="AR7" s="173"/>
      <c r="AS7" s="173"/>
      <c r="AT7" s="173"/>
      <c r="AU7" s="173"/>
      <c r="AV7" s="173"/>
      <c r="AW7" s="173"/>
      <c r="AX7" s="173"/>
      <c r="AY7" s="174"/>
    </row>
    <row r="8" spans="1:51" s="2" customFormat="1" ht="12.75" thickBot="1">
      <c r="A8" s="138"/>
      <c r="B8" s="139"/>
      <c r="C8" s="139"/>
      <c r="D8" s="139"/>
      <c r="E8" s="139"/>
      <c r="F8" s="140"/>
      <c r="G8" s="175" t="s">
        <v>12</v>
      </c>
      <c r="H8" s="176"/>
      <c r="I8" s="176"/>
      <c r="J8" s="176"/>
      <c r="K8" s="176"/>
      <c r="L8" s="177"/>
      <c r="M8" s="178"/>
      <c r="N8" s="178"/>
      <c r="O8" s="178"/>
      <c r="P8" s="178"/>
      <c r="Q8" s="178"/>
      <c r="R8" s="178"/>
      <c r="S8" s="178"/>
      <c r="T8" s="178"/>
      <c r="U8" s="178"/>
      <c r="V8" s="178"/>
      <c r="W8" s="178"/>
      <c r="X8" s="178"/>
      <c r="Y8" s="178"/>
      <c r="Z8" s="178"/>
      <c r="AA8" s="178"/>
      <c r="AB8" s="179"/>
      <c r="AC8" s="180" t="s">
        <v>33</v>
      </c>
      <c r="AD8" s="176"/>
      <c r="AE8" s="176"/>
      <c r="AF8" s="176"/>
      <c r="AG8" s="176"/>
      <c r="AH8" s="177" t="str">
        <f ca="1">RIGHT(CELL("filename",A1),LEN(CELL("filename",A1))-FIND("]",CELL("filename",A1)))</f>
        <v>雛形</v>
      </c>
      <c r="AI8" s="178"/>
      <c r="AJ8" s="178"/>
      <c r="AK8" s="178"/>
      <c r="AL8" s="178"/>
      <c r="AM8" s="178"/>
      <c r="AN8" s="178"/>
      <c r="AO8" s="178"/>
      <c r="AP8" s="178"/>
      <c r="AQ8" s="178"/>
      <c r="AR8" s="178"/>
      <c r="AS8" s="178"/>
      <c r="AT8" s="178"/>
      <c r="AU8" s="178"/>
      <c r="AV8" s="178"/>
      <c r="AW8" s="178"/>
      <c r="AX8" s="178"/>
      <c r="AY8" s="179"/>
    </row>
    <row r="10" spans="1:51">
      <c r="A10" s="181" t="s">
        <v>15</v>
      </c>
      <c r="B10" s="181"/>
      <c r="C10" s="181" t="s">
        <v>17</v>
      </c>
      <c r="D10" s="181"/>
      <c r="E10" s="181"/>
      <c r="F10" s="181"/>
      <c r="G10" s="181"/>
      <c r="H10" s="181"/>
      <c r="I10" s="181"/>
      <c r="J10" s="181"/>
      <c r="K10" s="181"/>
      <c r="L10" s="183" t="s">
        <v>18</v>
      </c>
      <c r="M10" s="184"/>
      <c r="N10" s="184"/>
      <c r="O10" s="184"/>
      <c r="P10" s="184"/>
      <c r="Q10" s="184"/>
      <c r="R10" s="184"/>
      <c r="S10" s="185"/>
      <c r="T10" s="184" t="s">
        <v>16</v>
      </c>
      <c r="U10" s="184"/>
      <c r="V10" s="185"/>
      <c r="W10" s="181" t="s">
        <v>28</v>
      </c>
      <c r="X10" s="181"/>
      <c r="Y10" s="181" t="s">
        <v>29</v>
      </c>
      <c r="Z10" s="181"/>
      <c r="AA10" s="181" t="s">
        <v>25</v>
      </c>
      <c r="AB10" s="181"/>
      <c r="AC10" s="181" t="s">
        <v>26</v>
      </c>
      <c r="AD10" s="181"/>
      <c r="AE10" s="181"/>
      <c r="AF10" s="181"/>
      <c r="AG10" s="181"/>
      <c r="AH10" s="181" t="s">
        <v>27</v>
      </c>
      <c r="AI10" s="181"/>
      <c r="AJ10" s="182" t="s">
        <v>30</v>
      </c>
      <c r="AK10" s="181"/>
      <c r="AL10" s="181" t="s">
        <v>31</v>
      </c>
      <c r="AM10" s="181"/>
      <c r="AN10" s="181"/>
      <c r="AO10" s="181" t="s">
        <v>32</v>
      </c>
      <c r="AP10" s="181"/>
      <c r="AQ10" s="181"/>
      <c r="AR10" s="181"/>
      <c r="AS10" s="181"/>
      <c r="AT10" s="181"/>
      <c r="AU10" s="181"/>
      <c r="AV10" s="181"/>
      <c r="AW10" s="181"/>
      <c r="AX10" s="181"/>
      <c r="AY10" s="181"/>
    </row>
    <row r="11" spans="1:51">
      <c r="A11" s="181"/>
      <c r="B11" s="181"/>
      <c r="C11" s="181"/>
      <c r="D11" s="181"/>
      <c r="E11" s="181"/>
      <c r="F11" s="181"/>
      <c r="G11" s="181"/>
      <c r="H11" s="181"/>
      <c r="I11" s="181"/>
      <c r="J11" s="181"/>
      <c r="K11" s="181"/>
      <c r="L11" s="186"/>
      <c r="M11" s="187"/>
      <c r="N11" s="187"/>
      <c r="O11" s="187"/>
      <c r="P11" s="187"/>
      <c r="Q11" s="187"/>
      <c r="R11" s="187"/>
      <c r="S11" s="188"/>
      <c r="T11" s="187"/>
      <c r="U11" s="187"/>
      <c r="V11" s="188"/>
      <c r="W11" s="181"/>
      <c r="X11" s="181"/>
      <c r="Y11" s="181"/>
      <c r="Z11" s="181"/>
      <c r="AA11" s="181" t="s">
        <v>24</v>
      </c>
      <c r="AB11" s="181"/>
      <c r="AC11" s="9" t="s">
        <v>19</v>
      </c>
      <c r="AD11" s="9" t="s">
        <v>20</v>
      </c>
      <c r="AE11" s="9" t="s">
        <v>21</v>
      </c>
      <c r="AF11" s="9" t="s">
        <v>22</v>
      </c>
      <c r="AG11" s="9" t="s">
        <v>23</v>
      </c>
      <c r="AH11" s="181" t="s">
        <v>24</v>
      </c>
      <c r="AI11" s="181"/>
      <c r="AJ11" s="181"/>
      <c r="AK11" s="181"/>
      <c r="AL11" s="181"/>
      <c r="AM11" s="181"/>
      <c r="AN11" s="181"/>
      <c r="AO11" s="181"/>
      <c r="AP11" s="181"/>
      <c r="AQ11" s="181"/>
      <c r="AR11" s="181"/>
      <c r="AS11" s="181"/>
      <c r="AT11" s="181"/>
      <c r="AU11" s="181"/>
      <c r="AV11" s="181"/>
      <c r="AW11" s="181"/>
      <c r="AX11" s="181"/>
      <c r="AY11" s="181"/>
    </row>
    <row r="12" spans="1:51">
      <c r="A12" s="189">
        <f t="shared" ref="A12:A54" si="0">ROW()-11</f>
        <v>1</v>
      </c>
      <c r="B12" s="190"/>
      <c r="C12" s="191" t="s">
        <v>82</v>
      </c>
      <c r="D12" s="192"/>
      <c r="E12" s="192"/>
      <c r="F12" s="192"/>
      <c r="G12" s="192"/>
      <c r="H12" s="192"/>
      <c r="I12" s="192"/>
      <c r="J12" s="192"/>
      <c r="K12" s="193"/>
      <c r="L12" s="191" t="s">
        <v>93</v>
      </c>
      <c r="M12" s="192"/>
      <c r="N12" s="192"/>
      <c r="O12" s="192"/>
      <c r="P12" s="192"/>
      <c r="Q12" s="192"/>
      <c r="R12" s="192"/>
      <c r="S12" s="193"/>
      <c r="T12" s="194" t="s">
        <v>41</v>
      </c>
      <c r="U12" s="195"/>
      <c r="V12" s="196"/>
      <c r="W12" s="197" t="s">
        <v>43</v>
      </c>
      <c r="X12" s="198"/>
      <c r="Y12" s="197">
        <v>8</v>
      </c>
      <c r="Z12" s="198"/>
      <c r="AA12" s="197"/>
      <c r="AB12" s="198"/>
      <c r="AC12" s="47"/>
      <c r="AD12" s="22"/>
      <c r="AE12" s="22"/>
      <c r="AF12" s="22"/>
      <c r="AG12" s="49"/>
      <c r="AH12" s="197"/>
      <c r="AI12" s="198"/>
      <c r="AJ12" s="199"/>
      <c r="AK12" s="200"/>
      <c r="AL12" s="197"/>
      <c r="AM12" s="201"/>
      <c r="AN12" s="198"/>
      <c r="AO12" s="192"/>
      <c r="AP12" s="192"/>
      <c r="AQ12" s="192"/>
      <c r="AR12" s="192"/>
      <c r="AS12" s="192"/>
      <c r="AT12" s="192"/>
      <c r="AU12" s="192"/>
      <c r="AV12" s="192"/>
      <c r="AW12" s="192"/>
      <c r="AX12" s="192"/>
      <c r="AY12" s="193"/>
    </row>
    <row r="13" spans="1:51">
      <c r="A13" s="189">
        <f t="shared" si="0"/>
        <v>2</v>
      </c>
      <c r="B13" s="190"/>
      <c r="C13" s="191" t="s">
        <v>83</v>
      </c>
      <c r="D13" s="192"/>
      <c r="E13" s="192"/>
      <c r="F13" s="192"/>
      <c r="G13" s="192"/>
      <c r="H13" s="192"/>
      <c r="I13" s="192"/>
      <c r="J13" s="192"/>
      <c r="K13" s="193"/>
      <c r="L13" s="191" t="s">
        <v>94</v>
      </c>
      <c r="M13" s="192"/>
      <c r="N13" s="192"/>
      <c r="O13" s="192"/>
      <c r="P13" s="192"/>
      <c r="Q13" s="192"/>
      <c r="R13" s="192"/>
      <c r="S13" s="193"/>
      <c r="T13" s="194" t="s">
        <v>40</v>
      </c>
      <c r="U13" s="195"/>
      <c r="V13" s="196"/>
      <c r="W13" s="197">
        <v>60</v>
      </c>
      <c r="X13" s="198"/>
      <c r="Y13" s="197">
        <v>60</v>
      </c>
      <c r="Z13" s="198"/>
      <c r="AA13" s="197"/>
      <c r="AB13" s="198"/>
      <c r="AC13" s="47"/>
      <c r="AD13" s="22"/>
      <c r="AE13" s="22"/>
      <c r="AF13" s="22"/>
      <c r="AG13" s="49"/>
      <c r="AH13" s="197"/>
      <c r="AI13" s="198"/>
      <c r="AJ13" s="199"/>
      <c r="AK13" s="200"/>
      <c r="AL13" s="197"/>
      <c r="AM13" s="201"/>
      <c r="AN13" s="198"/>
      <c r="AO13" s="192"/>
      <c r="AP13" s="192"/>
      <c r="AQ13" s="192"/>
      <c r="AR13" s="192"/>
      <c r="AS13" s="192"/>
      <c r="AT13" s="192"/>
      <c r="AU13" s="192"/>
      <c r="AV13" s="192"/>
      <c r="AW13" s="192"/>
      <c r="AX13" s="192"/>
      <c r="AY13" s="193"/>
    </row>
    <row r="14" spans="1:51">
      <c r="A14" s="189">
        <f t="shared" si="0"/>
        <v>3</v>
      </c>
      <c r="B14" s="190"/>
      <c r="C14" s="191" t="s">
        <v>90</v>
      </c>
      <c r="D14" s="192"/>
      <c r="E14" s="192"/>
      <c r="F14" s="192"/>
      <c r="G14" s="192"/>
      <c r="H14" s="192"/>
      <c r="I14" s="192"/>
      <c r="J14" s="192"/>
      <c r="K14" s="193"/>
      <c r="L14" s="191" t="s">
        <v>95</v>
      </c>
      <c r="M14" s="192"/>
      <c r="N14" s="192"/>
      <c r="O14" s="192"/>
      <c r="P14" s="192"/>
      <c r="Q14" s="192"/>
      <c r="R14" s="192"/>
      <c r="S14" s="193"/>
      <c r="T14" s="194" t="s">
        <v>42</v>
      </c>
      <c r="U14" s="195"/>
      <c r="V14" s="196"/>
      <c r="W14" s="197" t="s">
        <v>91</v>
      </c>
      <c r="X14" s="198"/>
      <c r="Y14" s="197">
        <v>4</v>
      </c>
      <c r="Z14" s="198"/>
      <c r="AA14" s="197"/>
      <c r="AB14" s="198"/>
      <c r="AC14" s="47"/>
      <c r="AD14" s="22"/>
      <c r="AE14" s="22"/>
      <c r="AF14" s="22"/>
      <c r="AG14" s="49"/>
      <c r="AH14" s="197"/>
      <c r="AI14" s="198"/>
      <c r="AJ14" s="199"/>
      <c r="AK14" s="200"/>
      <c r="AL14" s="197"/>
      <c r="AM14" s="201"/>
      <c r="AN14" s="198"/>
      <c r="AO14" s="192"/>
      <c r="AP14" s="192"/>
      <c r="AQ14" s="192"/>
      <c r="AR14" s="192"/>
      <c r="AS14" s="192"/>
      <c r="AT14" s="192"/>
      <c r="AU14" s="192"/>
      <c r="AV14" s="192"/>
      <c r="AW14" s="192"/>
      <c r="AX14" s="192"/>
      <c r="AY14" s="193"/>
    </row>
    <row r="15" spans="1:51">
      <c r="A15" s="189">
        <f t="shared" si="0"/>
        <v>4</v>
      </c>
      <c r="B15" s="190"/>
      <c r="C15" s="191" t="s">
        <v>84</v>
      </c>
      <c r="D15" s="192"/>
      <c r="E15" s="192"/>
      <c r="F15" s="192"/>
      <c r="G15" s="192"/>
      <c r="H15" s="192"/>
      <c r="I15" s="192"/>
      <c r="J15" s="192"/>
      <c r="K15" s="193"/>
      <c r="L15" s="191" t="s">
        <v>96</v>
      </c>
      <c r="M15" s="192"/>
      <c r="N15" s="192"/>
      <c r="O15" s="192"/>
      <c r="P15" s="192"/>
      <c r="Q15" s="192"/>
      <c r="R15" s="192"/>
      <c r="S15" s="193"/>
      <c r="T15" s="194" t="s">
        <v>41</v>
      </c>
      <c r="U15" s="195"/>
      <c r="V15" s="196"/>
      <c r="W15" s="197" t="s">
        <v>43</v>
      </c>
      <c r="X15" s="198"/>
      <c r="Y15" s="197">
        <v>8</v>
      </c>
      <c r="Z15" s="198"/>
      <c r="AA15" s="197"/>
      <c r="AB15" s="198"/>
      <c r="AC15" s="47"/>
      <c r="AD15" s="22"/>
      <c r="AE15" s="22"/>
      <c r="AF15" s="22"/>
      <c r="AG15" s="49"/>
      <c r="AH15" s="197"/>
      <c r="AI15" s="198"/>
      <c r="AJ15" s="199"/>
      <c r="AK15" s="200"/>
      <c r="AL15" s="197"/>
      <c r="AM15" s="201"/>
      <c r="AN15" s="198"/>
      <c r="AO15" s="192"/>
      <c r="AP15" s="192"/>
      <c r="AQ15" s="192"/>
      <c r="AR15" s="192"/>
      <c r="AS15" s="192"/>
      <c r="AT15" s="192"/>
      <c r="AU15" s="192"/>
      <c r="AV15" s="192"/>
      <c r="AW15" s="192"/>
      <c r="AX15" s="192"/>
      <c r="AY15" s="193"/>
    </row>
    <row r="16" spans="1:51">
      <c r="A16" s="189">
        <f t="shared" si="0"/>
        <v>5</v>
      </c>
      <c r="B16" s="190"/>
      <c r="C16" s="191" t="s">
        <v>85</v>
      </c>
      <c r="D16" s="192"/>
      <c r="E16" s="192"/>
      <c r="F16" s="192"/>
      <c r="G16" s="192"/>
      <c r="H16" s="192"/>
      <c r="I16" s="192"/>
      <c r="J16" s="192"/>
      <c r="K16" s="193"/>
      <c r="L16" s="191" t="s">
        <v>97</v>
      </c>
      <c r="M16" s="192"/>
      <c r="N16" s="192"/>
      <c r="O16" s="192"/>
      <c r="P16" s="192"/>
      <c r="Q16" s="192"/>
      <c r="R16" s="192"/>
      <c r="S16" s="193"/>
      <c r="T16" s="194" t="s">
        <v>40</v>
      </c>
      <c r="U16" s="195"/>
      <c r="V16" s="196"/>
      <c r="W16" s="197">
        <v>60</v>
      </c>
      <c r="X16" s="198"/>
      <c r="Y16" s="197">
        <v>60</v>
      </c>
      <c r="Z16" s="198"/>
      <c r="AA16" s="197"/>
      <c r="AB16" s="198"/>
      <c r="AC16" s="47"/>
      <c r="AD16" s="22"/>
      <c r="AE16" s="22"/>
      <c r="AF16" s="22"/>
      <c r="AG16" s="49"/>
      <c r="AH16" s="197"/>
      <c r="AI16" s="198"/>
      <c r="AJ16" s="199"/>
      <c r="AK16" s="200"/>
      <c r="AL16" s="197"/>
      <c r="AM16" s="201"/>
      <c r="AN16" s="198"/>
      <c r="AO16" s="192"/>
      <c r="AP16" s="192"/>
      <c r="AQ16" s="192"/>
      <c r="AR16" s="192"/>
      <c r="AS16" s="192"/>
      <c r="AT16" s="192"/>
      <c r="AU16" s="192"/>
      <c r="AV16" s="192"/>
      <c r="AW16" s="192"/>
      <c r="AX16" s="192"/>
      <c r="AY16" s="193"/>
    </row>
    <row r="17" spans="1:51">
      <c r="A17" s="189">
        <f t="shared" si="0"/>
        <v>6</v>
      </c>
      <c r="B17" s="190"/>
      <c r="C17" s="191" t="s">
        <v>92</v>
      </c>
      <c r="D17" s="192"/>
      <c r="E17" s="192"/>
      <c r="F17" s="192"/>
      <c r="G17" s="192"/>
      <c r="H17" s="192"/>
      <c r="I17" s="192"/>
      <c r="J17" s="192"/>
      <c r="K17" s="193"/>
      <c r="L17" s="191" t="s">
        <v>98</v>
      </c>
      <c r="M17" s="192"/>
      <c r="N17" s="192"/>
      <c r="O17" s="192"/>
      <c r="P17" s="192"/>
      <c r="Q17" s="192"/>
      <c r="R17" s="192"/>
      <c r="S17" s="193"/>
      <c r="T17" s="194" t="s">
        <v>42</v>
      </c>
      <c r="U17" s="195"/>
      <c r="V17" s="196"/>
      <c r="W17" s="197" t="s">
        <v>91</v>
      </c>
      <c r="X17" s="198"/>
      <c r="Y17" s="197">
        <v>4</v>
      </c>
      <c r="Z17" s="198"/>
      <c r="AA17" s="197"/>
      <c r="AB17" s="198"/>
      <c r="AC17" s="47"/>
      <c r="AD17" s="22"/>
      <c r="AE17" s="22"/>
      <c r="AF17" s="22"/>
      <c r="AG17" s="49"/>
      <c r="AH17" s="197"/>
      <c r="AI17" s="198"/>
      <c r="AJ17" s="199"/>
      <c r="AK17" s="200"/>
      <c r="AL17" s="197"/>
      <c r="AM17" s="201"/>
      <c r="AN17" s="198"/>
      <c r="AO17" s="192"/>
      <c r="AP17" s="192"/>
      <c r="AQ17" s="192"/>
      <c r="AR17" s="192"/>
      <c r="AS17" s="192"/>
      <c r="AT17" s="192"/>
      <c r="AU17" s="192"/>
      <c r="AV17" s="192"/>
      <c r="AW17" s="192"/>
      <c r="AX17" s="192"/>
      <c r="AY17" s="193"/>
    </row>
    <row r="18" spans="1:51">
      <c r="A18" s="189">
        <f t="shared" si="0"/>
        <v>7</v>
      </c>
      <c r="B18" s="190"/>
      <c r="C18" s="191" t="s">
        <v>100</v>
      </c>
      <c r="D18" s="192"/>
      <c r="E18" s="192"/>
      <c r="F18" s="192"/>
      <c r="G18" s="192"/>
      <c r="H18" s="192"/>
      <c r="I18" s="192"/>
      <c r="J18" s="192"/>
      <c r="K18" s="193"/>
      <c r="L18" s="191" t="s">
        <v>103</v>
      </c>
      <c r="M18" s="192"/>
      <c r="N18" s="192"/>
      <c r="O18" s="192"/>
      <c r="P18" s="192"/>
      <c r="Q18" s="192"/>
      <c r="R18" s="192"/>
      <c r="S18" s="193"/>
      <c r="T18" s="194" t="s">
        <v>41</v>
      </c>
      <c r="U18" s="195"/>
      <c r="V18" s="196"/>
      <c r="W18" s="197" t="s">
        <v>43</v>
      </c>
      <c r="X18" s="198"/>
      <c r="Y18" s="197">
        <v>8</v>
      </c>
      <c r="Z18" s="198"/>
      <c r="AA18" s="197"/>
      <c r="AB18" s="198"/>
      <c r="AC18" s="47"/>
      <c r="AD18" s="22"/>
      <c r="AE18" s="22"/>
      <c r="AF18" s="22"/>
      <c r="AG18" s="49"/>
      <c r="AH18" s="197"/>
      <c r="AI18" s="198"/>
      <c r="AJ18" s="199"/>
      <c r="AK18" s="200"/>
      <c r="AL18" s="197"/>
      <c r="AM18" s="201"/>
      <c r="AN18" s="198"/>
      <c r="AO18" s="192"/>
      <c r="AP18" s="192"/>
      <c r="AQ18" s="192"/>
      <c r="AR18" s="192"/>
      <c r="AS18" s="192"/>
      <c r="AT18" s="192"/>
      <c r="AU18" s="192"/>
      <c r="AV18" s="192"/>
      <c r="AW18" s="192"/>
      <c r="AX18" s="192"/>
      <c r="AY18" s="193"/>
    </row>
    <row r="19" spans="1:51">
      <c r="A19" s="189">
        <f t="shared" si="0"/>
        <v>8</v>
      </c>
      <c r="B19" s="190"/>
      <c r="C19" s="191" t="s">
        <v>101</v>
      </c>
      <c r="D19" s="192"/>
      <c r="E19" s="192"/>
      <c r="F19" s="192"/>
      <c r="G19" s="192"/>
      <c r="H19" s="192"/>
      <c r="I19" s="192"/>
      <c r="J19" s="192"/>
      <c r="K19" s="193"/>
      <c r="L19" s="191" t="s">
        <v>104</v>
      </c>
      <c r="M19" s="192"/>
      <c r="N19" s="192"/>
      <c r="O19" s="192"/>
      <c r="P19" s="192"/>
      <c r="Q19" s="192"/>
      <c r="R19" s="192"/>
      <c r="S19" s="193"/>
      <c r="T19" s="194" t="s">
        <v>40</v>
      </c>
      <c r="U19" s="195"/>
      <c r="V19" s="196"/>
      <c r="W19" s="197">
        <v>60</v>
      </c>
      <c r="X19" s="198"/>
      <c r="Y19" s="197">
        <v>60</v>
      </c>
      <c r="Z19" s="198"/>
      <c r="AA19" s="197"/>
      <c r="AB19" s="198"/>
      <c r="AC19" s="47"/>
      <c r="AD19" s="22"/>
      <c r="AE19" s="22"/>
      <c r="AF19" s="22"/>
      <c r="AG19" s="49"/>
      <c r="AH19" s="197"/>
      <c r="AI19" s="198"/>
      <c r="AJ19" s="199"/>
      <c r="AK19" s="200"/>
      <c r="AL19" s="197"/>
      <c r="AM19" s="201"/>
      <c r="AN19" s="198"/>
      <c r="AO19" s="192"/>
      <c r="AP19" s="192"/>
      <c r="AQ19" s="192"/>
      <c r="AR19" s="192"/>
      <c r="AS19" s="192"/>
      <c r="AT19" s="192"/>
      <c r="AU19" s="192"/>
      <c r="AV19" s="192"/>
      <c r="AW19" s="192"/>
      <c r="AX19" s="192"/>
      <c r="AY19" s="193"/>
    </row>
    <row r="20" spans="1:51">
      <c r="A20" s="189">
        <f t="shared" si="0"/>
        <v>9</v>
      </c>
      <c r="B20" s="190"/>
      <c r="C20" s="191" t="s">
        <v>102</v>
      </c>
      <c r="D20" s="192"/>
      <c r="E20" s="192"/>
      <c r="F20" s="192"/>
      <c r="G20" s="192"/>
      <c r="H20" s="192"/>
      <c r="I20" s="192"/>
      <c r="J20" s="192"/>
      <c r="K20" s="193"/>
      <c r="L20" s="191" t="s">
        <v>105</v>
      </c>
      <c r="M20" s="192"/>
      <c r="N20" s="192"/>
      <c r="O20" s="192"/>
      <c r="P20" s="192"/>
      <c r="Q20" s="192"/>
      <c r="R20" s="192"/>
      <c r="S20" s="193"/>
      <c r="T20" s="194" t="s">
        <v>42</v>
      </c>
      <c r="U20" s="195"/>
      <c r="V20" s="196"/>
      <c r="W20" s="197" t="s">
        <v>91</v>
      </c>
      <c r="X20" s="198"/>
      <c r="Y20" s="197">
        <v>4</v>
      </c>
      <c r="Z20" s="198"/>
      <c r="AA20" s="197"/>
      <c r="AB20" s="198"/>
      <c r="AC20" s="47"/>
      <c r="AD20" s="22"/>
      <c r="AE20" s="22"/>
      <c r="AF20" s="22"/>
      <c r="AG20" s="49"/>
      <c r="AH20" s="197"/>
      <c r="AI20" s="198"/>
      <c r="AJ20" s="199"/>
      <c r="AK20" s="200"/>
      <c r="AL20" s="197"/>
      <c r="AM20" s="201"/>
      <c r="AN20" s="198"/>
      <c r="AO20" s="192"/>
      <c r="AP20" s="192"/>
      <c r="AQ20" s="192"/>
      <c r="AR20" s="192"/>
      <c r="AS20" s="192"/>
      <c r="AT20" s="192"/>
      <c r="AU20" s="192"/>
      <c r="AV20" s="192"/>
      <c r="AW20" s="192"/>
      <c r="AX20" s="192"/>
      <c r="AY20" s="193"/>
    </row>
    <row r="21" spans="1:51">
      <c r="A21" s="189">
        <f>ROW()-11</f>
        <v>10</v>
      </c>
      <c r="B21" s="190"/>
      <c r="C21" s="191" t="s">
        <v>86</v>
      </c>
      <c r="D21" s="192"/>
      <c r="E21" s="192"/>
      <c r="F21" s="192"/>
      <c r="G21" s="192"/>
      <c r="H21" s="192"/>
      <c r="I21" s="192"/>
      <c r="J21" s="192"/>
      <c r="K21" s="193"/>
      <c r="L21" s="191" t="s">
        <v>99</v>
      </c>
      <c r="M21" s="192"/>
      <c r="N21" s="192"/>
      <c r="O21" s="192"/>
      <c r="P21" s="192"/>
      <c r="Q21" s="192"/>
      <c r="R21" s="192"/>
      <c r="S21" s="193"/>
      <c r="T21" s="194" t="s">
        <v>42</v>
      </c>
      <c r="U21" s="195"/>
      <c r="V21" s="196"/>
      <c r="W21" s="197">
        <v>1</v>
      </c>
      <c r="X21" s="198"/>
      <c r="Y21" s="197">
        <v>1</v>
      </c>
      <c r="Z21" s="198"/>
      <c r="AA21" s="197"/>
      <c r="AB21" s="198"/>
      <c r="AC21" s="47"/>
      <c r="AD21" s="22"/>
      <c r="AE21" s="22"/>
      <c r="AF21" s="22"/>
      <c r="AG21" s="49"/>
      <c r="AH21" s="197"/>
      <c r="AI21" s="198"/>
      <c r="AJ21" s="199"/>
      <c r="AK21" s="200"/>
      <c r="AL21" s="197">
        <v>0</v>
      </c>
      <c r="AM21" s="201"/>
      <c r="AN21" s="198"/>
      <c r="AO21" s="192" t="s">
        <v>44</v>
      </c>
      <c r="AP21" s="192"/>
      <c r="AQ21" s="192"/>
      <c r="AR21" s="192"/>
      <c r="AS21" s="192"/>
      <c r="AT21" s="192"/>
      <c r="AU21" s="192"/>
      <c r="AV21" s="192"/>
      <c r="AW21" s="192"/>
      <c r="AX21" s="192"/>
      <c r="AY21" s="193"/>
    </row>
    <row r="22" spans="1:51">
      <c r="A22" s="202">
        <f t="shared" si="0"/>
        <v>11</v>
      </c>
      <c r="B22" s="204"/>
      <c r="C22" s="48"/>
      <c r="D22" s="42"/>
      <c r="E22" s="42"/>
      <c r="F22" s="42"/>
      <c r="G22" s="42"/>
      <c r="H22" s="42"/>
      <c r="I22" s="42"/>
      <c r="J22" s="42"/>
      <c r="K22" s="44"/>
      <c r="L22" s="48"/>
      <c r="M22" s="42"/>
      <c r="N22" s="42"/>
      <c r="O22" s="42"/>
      <c r="P22" s="42"/>
      <c r="Q22" s="42"/>
      <c r="R22" s="42"/>
      <c r="S22" s="44"/>
      <c r="T22" s="207"/>
      <c r="U22" s="208"/>
      <c r="V22" s="209"/>
      <c r="W22" s="220"/>
      <c r="X22" s="221"/>
      <c r="Y22" s="220"/>
      <c r="Z22" s="221"/>
      <c r="AA22" s="215"/>
      <c r="AB22" s="216"/>
      <c r="AC22" s="46"/>
      <c r="AD22" s="24"/>
      <c r="AE22" s="24"/>
      <c r="AF22" s="24"/>
      <c r="AG22" s="51"/>
      <c r="AH22" s="215"/>
      <c r="AI22" s="216"/>
      <c r="AJ22" s="212"/>
      <c r="AK22" s="213"/>
      <c r="AL22" s="215"/>
      <c r="AM22" s="217"/>
      <c r="AN22" s="216"/>
      <c r="AO22" s="205"/>
      <c r="AP22" s="205"/>
      <c r="AQ22" s="205"/>
      <c r="AR22" s="205"/>
      <c r="AS22" s="205"/>
      <c r="AT22" s="205"/>
      <c r="AU22" s="205"/>
      <c r="AV22" s="205"/>
      <c r="AW22" s="205"/>
      <c r="AX22" s="205"/>
      <c r="AY22" s="206"/>
    </row>
    <row r="23" spans="1:51">
      <c r="A23" s="202">
        <f t="shared" si="0"/>
        <v>12</v>
      </c>
      <c r="B23" s="204"/>
      <c r="C23" s="48"/>
      <c r="D23" s="42"/>
      <c r="E23" s="42"/>
      <c r="F23" s="42"/>
      <c r="G23" s="42"/>
      <c r="H23" s="42"/>
      <c r="I23" s="42"/>
      <c r="J23" s="42"/>
      <c r="K23" s="44"/>
      <c r="L23" s="48"/>
      <c r="M23" s="42"/>
      <c r="N23" s="42"/>
      <c r="O23" s="42"/>
      <c r="P23" s="42"/>
      <c r="Q23" s="42"/>
      <c r="R23" s="42"/>
      <c r="S23" s="44"/>
      <c r="T23" s="207"/>
      <c r="U23" s="208"/>
      <c r="V23" s="209"/>
      <c r="W23" s="202"/>
      <c r="X23" s="204"/>
      <c r="Y23" s="202"/>
      <c r="Z23" s="204"/>
      <c r="AA23" s="202"/>
      <c r="AB23" s="204"/>
      <c r="AC23" s="46"/>
      <c r="AD23" s="24"/>
      <c r="AE23" s="24"/>
      <c r="AF23" s="24"/>
      <c r="AG23" s="51"/>
      <c r="AH23" s="202"/>
      <c r="AI23" s="204"/>
      <c r="AJ23" s="212"/>
      <c r="AK23" s="213"/>
      <c r="AL23" s="202"/>
      <c r="AM23" s="203"/>
      <c r="AN23" s="204"/>
      <c r="AO23" s="205"/>
      <c r="AP23" s="205"/>
      <c r="AQ23" s="205"/>
      <c r="AR23" s="205"/>
      <c r="AS23" s="205"/>
      <c r="AT23" s="205"/>
      <c r="AU23" s="205"/>
      <c r="AV23" s="205"/>
      <c r="AW23" s="205"/>
      <c r="AX23" s="205"/>
      <c r="AY23" s="206"/>
    </row>
    <row r="24" spans="1:51">
      <c r="A24" s="202">
        <f t="shared" si="0"/>
        <v>13</v>
      </c>
      <c r="B24" s="204"/>
      <c r="C24" s="48"/>
      <c r="D24" s="42"/>
      <c r="E24" s="42"/>
      <c r="F24" s="42"/>
      <c r="G24" s="42"/>
      <c r="H24" s="42"/>
      <c r="I24" s="42"/>
      <c r="J24" s="42"/>
      <c r="K24" s="44"/>
      <c r="L24" s="48"/>
      <c r="M24" s="42"/>
      <c r="N24" s="42"/>
      <c r="O24" s="42"/>
      <c r="P24" s="42"/>
      <c r="Q24" s="42"/>
      <c r="R24" s="42"/>
      <c r="S24" s="44"/>
      <c r="T24" s="207"/>
      <c r="U24" s="208"/>
      <c r="V24" s="209"/>
      <c r="W24" s="202"/>
      <c r="X24" s="204"/>
      <c r="Y24" s="202"/>
      <c r="Z24" s="204"/>
      <c r="AA24" s="202"/>
      <c r="AB24" s="204"/>
      <c r="AC24" s="46"/>
      <c r="AD24" s="24"/>
      <c r="AE24" s="24"/>
      <c r="AF24" s="24"/>
      <c r="AG24" s="51"/>
      <c r="AH24" s="202"/>
      <c r="AI24" s="204"/>
      <c r="AJ24" s="100"/>
      <c r="AK24" s="102"/>
      <c r="AL24" s="202"/>
      <c r="AM24" s="203"/>
      <c r="AN24" s="204"/>
      <c r="AO24" s="205"/>
      <c r="AP24" s="205"/>
      <c r="AQ24" s="205"/>
      <c r="AR24" s="205"/>
      <c r="AS24" s="205"/>
      <c r="AT24" s="205"/>
      <c r="AU24" s="205"/>
      <c r="AV24" s="205"/>
      <c r="AW24" s="205"/>
      <c r="AX24" s="205"/>
      <c r="AY24" s="206"/>
    </row>
    <row r="25" spans="1:51">
      <c r="A25" s="202">
        <f t="shared" si="0"/>
        <v>14</v>
      </c>
      <c r="B25" s="204"/>
      <c r="C25" s="48"/>
      <c r="D25" s="42"/>
      <c r="E25" s="42"/>
      <c r="F25" s="42"/>
      <c r="G25" s="42"/>
      <c r="H25" s="42"/>
      <c r="I25" s="42"/>
      <c r="J25" s="42"/>
      <c r="K25" s="44"/>
      <c r="L25" s="48"/>
      <c r="M25" s="42"/>
      <c r="N25" s="42"/>
      <c r="O25" s="42"/>
      <c r="P25" s="42"/>
      <c r="Q25" s="42"/>
      <c r="R25" s="42"/>
      <c r="S25" s="44"/>
      <c r="T25" s="207"/>
      <c r="U25" s="208"/>
      <c r="V25" s="209"/>
      <c r="W25" s="202"/>
      <c r="X25" s="204"/>
      <c r="Y25" s="202"/>
      <c r="Z25" s="204"/>
      <c r="AA25" s="202"/>
      <c r="AB25" s="204"/>
      <c r="AC25" s="45"/>
      <c r="AD25" s="23"/>
      <c r="AE25" s="23"/>
      <c r="AF25" s="23"/>
      <c r="AG25" s="50"/>
      <c r="AH25" s="202"/>
      <c r="AI25" s="204"/>
      <c r="AJ25" s="100"/>
      <c r="AK25" s="102"/>
      <c r="AL25" s="202"/>
      <c r="AM25" s="203"/>
      <c r="AN25" s="204"/>
      <c r="AO25" s="205"/>
      <c r="AP25" s="205"/>
      <c r="AQ25" s="205"/>
      <c r="AR25" s="205"/>
      <c r="AS25" s="205"/>
      <c r="AT25" s="205"/>
      <c r="AU25" s="205"/>
      <c r="AV25" s="205"/>
      <c r="AW25" s="205"/>
      <c r="AX25" s="205"/>
      <c r="AY25" s="206"/>
    </row>
    <row r="26" spans="1:51">
      <c r="A26" s="202">
        <f t="shared" si="0"/>
        <v>15</v>
      </c>
      <c r="B26" s="204"/>
      <c r="C26" s="48"/>
      <c r="D26" s="42"/>
      <c r="E26" s="42"/>
      <c r="F26" s="42"/>
      <c r="G26" s="42"/>
      <c r="H26" s="42"/>
      <c r="I26" s="42"/>
      <c r="J26" s="42"/>
      <c r="K26" s="44"/>
      <c r="L26" s="48"/>
      <c r="M26" s="42"/>
      <c r="N26" s="42"/>
      <c r="O26" s="42"/>
      <c r="P26" s="42"/>
      <c r="Q26" s="42"/>
      <c r="R26" s="42"/>
      <c r="S26" s="44"/>
      <c r="T26" s="207"/>
      <c r="U26" s="208"/>
      <c r="V26" s="209"/>
      <c r="W26" s="202"/>
      <c r="X26" s="204"/>
      <c r="Y26" s="202"/>
      <c r="Z26" s="204"/>
      <c r="AA26" s="215"/>
      <c r="AB26" s="216"/>
      <c r="AC26" s="46"/>
      <c r="AD26" s="24"/>
      <c r="AE26" s="24"/>
      <c r="AF26" s="24"/>
      <c r="AG26" s="51"/>
      <c r="AH26" s="215"/>
      <c r="AI26" s="216"/>
      <c r="AJ26" s="100"/>
      <c r="AK26" s="102"/>
      <c r="AL26" s="215"/>
      <c r="AM26" s="217"/>
      <c r="AN26" s="216"/>
      <c r="AO26" s="205"/>
      <c r="AP26" s="205"/>
      <c r="AQ26" s="205"/>
      <c r="AR26" s="205"/>
      <c r="AS26" s="205"/>
      <c r="AT26" s="205"/>
      <c r="AU26" s="205"/>
      <c r="AV26" s="205"/>
      <c r="AW26" s="205"/>
      <c r="AX26" s="205"/>
      <c r="AY26" s="206"/>
    </row>
    <row r="27" spans="1:51">
      <c r="A27" s="218">
        <f t="shared" si="0"/>
        <v>16</v>
      </c>
      <c r="B27" s="219"/>
      <c r="C27" s="48"/>
      <c r="D27" s="42"/>
      <c r="E27" s="42"/>
      <c r="F27" s="42"/>
      <c r="G27" s="42"/>
      <c r="H27" s="42"/>
      <c r="I27" s="42"/>
      <c r="J27" s="42"/>
      <c r="K27" s="44"/>
      <c r="L27" s="48"/>
      <c r="M27" s="42"/>
      <c r="N27" s="42"/>
      <c r="O27" s="42"/>
      <c r="P27" s="42"/>
      <c r="Q27" s="42"/>
      <c r="R27" s="42"/>
      <c r="S27" s="44"/>
      <c r="T27" s="207"/>
      <c r="U27" s="208"/>
      <c r="V27" s="209"/>
      <c r="W27" s="202"/>
      <c r="X27" s="204"/>
      <c r="Y27" s="202"/>
      <c r="Z27" s="204"/>
      <c r="AA27" s="220"/>
      <c r="AB27" s="221"/>
      <c r="AC27" s="45"/>
      <c r="AD27" s="23"/>
      <c r="AE27" s="23"/>
      <c r="AF27" s="23"/>
      <c r="AG27" s="50"/>
      <c r="AH27" s="220"/>
      <c r="AI27" s="221"/>
      <c r="AJ27" s="223"/>
      <c r="AK27" s="224"/>
      <c r="AL27" s="220"/>
      <c r="AM27" s="222"/>
      <c r="AN27" s="221"/>
      <c r="AO27" s="205"/>
      <c r="AP27" s="205"/>
      <c r="AQ27" s="205"/>
      <c r="AR27" s="205"/>
      <c r="AS27" s="205"/>
      <c r="AT27" s="205"/>
      <c r="AU27" s="205"/>
      <c r="AV27" s="205"/>
      <c r="AW27" s="205"/>
      <c r="AX27" s="205"/>
      <c r="AY27" s="206"/>
    </row>
    <row r="28" spans="1:51">
      <c r="A28" s="218">
        <f t="shared" si="0"/>
        <v>17</v>
      </c>
      <c r="B28" s="219"/>
      <c r="C28" s="48"/>
      <c r="D28" s="42"/>
      <c r="E28" s="42"/>
      <c r="F28" s="42"/>
      <c r="G28" s="42"/>
      <c r="H28" s="42"/>
      <c r="I28" s="42"/>
      <c r="J28" s="42"/>
      <c r="K28" s="44"/>
      <c r="L28" s="48"/>
      <c r="M28" s="42"/>
      <c r="N28" s="42"/>
      <c r="O28" s="42"/>
      <c r="P28" s="42"/>
      <c r="Q28" s="42"/>
      <c r="R28" s="42"/>
      <c r="S28" s="44"/>
      <c r="T28" s="207"/>
      <c r="U28" s="208"/>
      <c r="V28" s="209"/>
      <c r="W28" s="202"/>
      <c r="X28" s="204"/>
      <c r="Y28" s="202"/>
      <c r="Z28" s="204"/>
      <c r="AA28" s="202"/>
      <c r="AB28" s="204"/>
      <c r="AC28" s="45"/>
      <c r="AD28" s="23"/>
      <c r="AE28" s="23"/>
      <c r="AF28" s="23"/>
      <c r="AG28" s="50"/>
      <c r="AH28" s="202"/>
      <c r="AI28" s="204"/>
      <c r="AJ28" s="100"/>
      <c r="AK28" s="102"/>
      <c r="AL28" s="202"/>
      <c r="AM28" s="203"/>
      <c r="AN28" s="204"/>
      <c r="AO28" s="205"/>
      <c r="AP28" s="205"/>
      <c r="AQ28" s="205"/>
      <c r="AR28" s="205"/>
      <c r="AS28" s="205"/>
      <c r="AT28" s="205"/>
      <c r="AU28" s="205"/>
      <c r="AV28" s="205"/>
      <c r="AW28" s="205"/>
      <c r="AX28" s="205"/>
      <c r="AY28" s="206"/>
    </row>
    <row r="29" spans="1:51">
      <c r="A29" s="218">
        <f t="shared" si="0"/>
        <v>18</v>
      </c>
      <c r="B29" s="219"/>
      <c r="C29" s="48"/>
      <c r="D29" s="42"/>
      <c r="E29" s="42"/>
      <c r="F29" s="42"/>
      <c r="G29" s="42"/>
      <c r="H29" s="42"/>
      <c r="I29" s="42"/>
      <c r="J29" s="42"/>
      <c r="K29" s="44"/>
      <c r="L29" s="48"/>
      <c r="M29" s="42"/>
      <c r="N29" s="42"/>
      <c r="O29" s="42"/>
      <c r="P29" s="42"/>
      <c r="Q29" s="42"/>
      <c r="R29" s="42"/>
      <c r="S29" s="44"/>
      <c r="T29" s="207"/>
      <c r="U29" s="208"/>
      <c r="V29" s="209"/>
      <c r="W29" s="202"/>
      <c r="X29" s="204"/>
      <c r="Y29" s="202"/>
      <c r="Z29" s="204"/>
      <c r="AA29" s="202"/>
      <c r="AB29" s="204"/>
      <c r="AC29" s="45"/>
      <c r="AD29" s="23"/>
      <c r="AE29" s="23"/>
      <c r="AF29" s="23"/>
      <c r="AG29" s="50"/>
      <c r="AH29" s="202"/>
      <c r="AI29" s="204"/>
      <c r="AJ29" s="100"/>
      <c r="AK29" s="102"/>
      <c r="AL29" s="202"/>
      <c r="AM29" s="203"/>
      <c r="AN29" s="204"/>
      <c r="AO29" s="205"/>
      <c r="AP29" s="205"/>
      <c r="AQ29" s="205"/>
      <c r="AR29" s="205"/>
      <c r="AS29" s="205"/>
      <c r="AT29" s="205"/>
      <c r="AU29" s="205"/>
      <c r="AV29" s="205"/>
      <c r="AW29" s="205"/>
      <c r="AX29" s="205"/>
      <c r="AY29" s="206"/>
    </row>
    <row r="30" spans="1:51">
      <c r="A30" s="218">
        <f t="shared" si="0"/>
        <v>19</v>
      </c>
      <c r="B30" s="219"/>
      <c r="C30" s="48"/>
      <c r="D30" s="42"/>
      <c r="E30" s="42"/>
      <c r="F30" s="42"/>
      <c r="G30" s="42"/>
      <c r="H30" s="42"/>
      <c r="I30" s="42"/>
      <c r="J30" s="42"/>
      <c r="K30" s="44"/>
      <c r="L30" s="48"/>
      <c r="M30" s="42"/>
      <c r="N30" s="42"/>
      <c r="O30" s="42"/>
      <c r="P30" s="42"/>
      <c r="Q30" s="42"/>
      <c r="R30" s="42"/>
      <c r="S30" s="44"/>
      <c r="T30" s="207"/>
      <c r="U30" s="208"/>
      <c r="V30" s="209"/>
      <c r="W30" s="202"/>
      <c r="X30" s="204"/>
      <c r="Y30" s="202"/>
      <c r="Z30" s="204"/>
      <c r="AA30" s="220"/>
      <c r="AB30" s="221"/>
      <c r="AC30" s="45"/>
      <c r="AD30" s="23"/>
      <c r="AE30" s="23"/>
      <c r="AF30" s="23"/>
      <c r="AG30" s="50"/>
      <c r="AH30" s="220"/>
      <c r="AI30" s="221"/>
      <c r="AJ30" s="223"/>
      <c r="AK30" s="224"/>
      <c r="AL30" s="220"/>
      <c r="AM30" s="222"/>
      <c r="AN30" s="221"/>
      <c r="AO30" s="205"/>
      <c r="AP30" s="205"/>
      <c r="AQ30" s="205"/>
      <c r="AR30" s="205"/>
      <c r="AS30" s="205"/>
      <c r="AT30" s="205"/>
      <c r="AU30" s="205"/>
      <c r="AV30" s="205"/>
      <c r="AW30" s="205"/>
      <c r="AX30" s="205"/>
      <c r="AY30" s="206"/>
    </row>
    <row r="31" spans="1:51">
      <c r="A31" s="218">
        <f t="shared" si="0"/>
        <v>20</v>
      </c>
      <c r="B31" s="219"/>
      <c r="C31" s="48"/>
      <c r="D31" s="42"/>
      <c r="E31" s="42"/>
      <c r="F31" s="42"/>
      <c r="G31" s="42"/>
      <c r="H31" s="42"/>
      <c r="I31" s="42"/>
      <c r="J31" s="42"/>
      <c r="K31" s="44"/>
      <c r="L31" s="48"/>
      <c r="M31" s="42"/>
      <c r="N31" s="42"/>
      <c r="O31" s="42"/>
      <c r="P31" s="42"/>
      <c r="Q31" s="42"/>
      <c r="R31" s="42"/>
      <c r="S31" s="44"/>
      <c r="T31" s="207"/>
      <c r="U31" s="208"/>
      <c r="V31" s="209"/>
      <c r="W31" s="202"/>
      <c r="X31" s="204"/>
      <c r="Y31" s="220"/>
      <c r="Z31" s="221"/>
      <c r="AA31" s="220"/>
      <c r="AB31" s="221"/>
      <c r="AC31" s="45"/>
      <c r="AD31" s="23"/>
      <c r="AE31" s="23"/>
      <c r="AF31" s="23"/>
      <c r="AG31" s="50"/>
      <c r="AH31" s="220"/>
      <c r="AI31" s="221"/>
      <c r="AJ31" s="223"/>
      <c r="AK31" s="224"/>
      <c r="AL31" s="220"/>
      <c r="AM31" s="222"/>
      <c r="AN31" s="221"/>
      <c r="AO31" s="205"/>
      <c r="AP31" s="205"/>
      <c r="AQ31" s="205"/>
      <c r="AR31" s="205"/>
      <c r="AS31" s="205"/>
      <c r="AT31" s="205"/>
      <c r="AU31" s="205"/>
      <c r="AV31" s="205"/>
      <c r="AW31" s="205"/>
      <c r="AX31" s="205"/>
      <c r="AY31" s="206"/>
    </row>
    <row r="32" spans="1:51">
      <c r="A32" s="218">
        <f t="shared" si="0"/>
        <v>21</v>
      </c>
      <c r="B32" s="219"/>
      <c r="C32" s="48"/>
      <c r="D32" s="42"/>
      <c r="E32" s="42"/>
      <c r="F32" s="42"/>
      <c r="G32" s="42"/>
      <c r="H32" s="42"/>
      <c r="I32" s="42"/>
      <c r="J32" s="42"/>
      <c r="K32" s="44"/>
      <c r="L32" s="48"/>
      <c r="M32" s="42"/>
      <c r="N32" s="42"/>
      <c r="O32" s="42"/>
      <c r="P32" s="42"/>
      <c r="Q32" s="42"/>
      <c r="R32" s="42"/>
      <c r="S32" s="44"/>
      <c r="T32" s="207"/>
      <c r="U32" s="208"/>
      <c r="V32" s="209"/>
      <c r="W32" s="202"/>
      <c r="X32" s="204"/>
      <c r="Y32" s="220"/>
      <c r="Z32" s="221"/>
      <c r="AA32" s="220"/>
      <c r="AB32" s="221"/>
      <c r="AC32" s="45"/>
      <c r="AD32" s="23"/>
      <c r="AE32" s="23"/>
      <c r="AF32" s="23"/>
      <c r="AG32" s="50"/>
      <c r="AH32" s="220"/>
      <c r="AI32" s="221"/>
      <c r="AJ32" s="223"/>
      <c r="AK32" s="224"/>
      <c r="AL32" s="220"/>
      <c r="AM32" s="222"/>
      <c r="AN32" s="221"/>
      <c r="AO32" s="205"/>
      <c r="AP32" s="205"/>
      <c r="AQ32" s="205"/>
      <c r="AR32" s="205"/>
      <c r="AS32" s="205"/>
      <c r="AT32" s="205"/>
      <c r="AU32" s="205"/>
      <c r="AV32" s="205"/>
      <c r="AW32" s="205"/>
      <c r="AX32" s="205"/>
      <c r="AY32" s="206"/>
    </row>
    <row r="33" spans="1:51">
      <c r="A33" s="218">
        <f t="shared" si="0"/>
        <v>22</v>
      </c>
      <c r="B33" s="219"/>
      <c r="C33" s="48"/>
      <c r="D33" s="42"/>
      <c r="E33" s="42"/>
      <c r="F33" s="42"/>
      <c r="G33" s="42"/>
      <c r="H33" s="42"/>
      <c r="I33" s="42"/>
      <c r="J33" s="42"/>
      <c r="K33" s="44"/>
      <c r="L33" s="48"/>
      <c r="M33" s="42"/>
      <c r="N33" s="42"/>
      <c r="O33" s="42"/>
      <c r="P33" s="42"/>
      <c r="Q33" s="42"/>
      <c r="R33" s="42"/>
      <c r="S33" s="44"/>
      <c r="T33" s="207"/>
      <c r="U33" s="208"/>
      <c r="V33" s="209"/>
      <c r="W33" s="202"/>
      <c r="X33" s="204"/>
      <c r="Y33" s="220"/>
      <c r="Z33" s="221"/>
      <c r="AA33" s="220"/>
      <c r="AB33" s="221"/>
      <c r="AC33" s="45"/>
      <c r="AD33" s="23"/>
      <c r="AE33" s="23"/>
      <c r="AF33" s="23"/>
      <c r="AG33" s="50"/>
      <c r="AH33" s="220"/>
      <c r="AI33" s="221"/>
      <c r="AJ33" s="223"/>
      <c r="AK33" s="224"/>
      <c r="AL33" s="220"/>
      <c r="AM33" s="222"/>
      <c r="AN33" s="221"/>
      <c r="AO33" s="205"/>
      <c r="AP33" s="205"/>
      <c r="AQ33" s="205"/>
      <c r="AR33" s="205"/>
      <c r="AS33" s="205"/>
      <c r="AT33" s="205"/>
      <c r="AU33" s="205"/>
      <c r="AV33" s="205"/>
      <c r="AW33" s="205"/>
      <c r="AX33" s="205"/>
      <c r="AY33" s="206"/>
    </row>
    <row r="34" spans="1:51">
      <c r="A34" s="218">
        <f t="shared" si="0"/>
        <v>23</v>
      </c>
      <c r="B34" s="219"/>
      <c r="C34" s="48"/>
      <c r="D34" s="42"/>
      <c r="E34" s="42"/>
      <c r="F34" s="42"/>
      <c r="G34" s="42"/>
      <c r="H34" s="42"/>
      <c r="I34" s="42"/>
      <c r="J34" s="42"/>
      <c r="K34" s="44"/>
      <c r="L34" s="48"/>
      <c r="M34" s="42"/>
      <c r="N34" s="42"/>
      <c r="O34" s="42"/>
      <c r="P34" s="42"/>
      <c r="Q34" s="42"/>
      <c r="R34" s="42"/>
      <c r="S34" s="44"/>
      <c r="T34" s="207"/>
      <c r="U34" s="208"/>
      <c r="V34" s="209"/>
      <c r="W34" s="202"/>
      <c r="X34" s="204"/>
      <c r="Y34" s="202"/>
      <c r="Z34" s="204"/>
      <c r="AA34" s="220"/>
      <c r="AB34" s="221"/>
      <c r="AC34" s="45"/>
      <c r="AD34" s="23"/>
      <c r="AE34" s="23"/>
      <c r="AF34" s="23"/>
      <c r="AG34" s="50"/>
      <c r="AH34" s="220"/>
      <c r="AI34" s="221"/>
      <c r="AJ34" s="223"/>
      <c r="AK34" s="224"/>
      <c r="AL34" s="220"/>
      <c r="AM34" s="222"/>
      <c r="AN34" s="221"/>
      <c r="AO34" s="205"/>
      <c r="AP34" s="205"/>
      <c r="AQ34" s="205"/>
      <c r="AR34" s="205"/>
      <c r="AS34" s="205"/>
      <c r="AT34" s="205"/>
      <c r="AU34" s="205"/>
      <c r="AV34" s="205"/>
      <c r="AW34" s="205"/>
      <c r="AX34" s="205"/>
      <c r="AY34" s="206"/>
    </row>
    <row r="35" spans="1:51">
      <c r="A35" s="218">
        <f t="shared" si="0"/>
        <v>24</v>
      </c>
      <c r="B35" s="219"/>
      <c r="C35" s="48"/>
      <c r="D35" s="42"/>
      <c r="E35" s="42"/>
      <c r="F35" s="42"/>
      <c r="G35" s="42"/>
      <c r="H35" s="42"/>
      <c r="I35" s="42"/>
      <c r="J35" s="42"/>
      <c r="K35" s="44"/>
      <c r="L35" s="48"/>
      <c r="M35" s="42"/>
      <c r="N35" s="42"/>
      <c r="O35" s="42"/>
      <c r="P35" s="42"/>
      <c r="Q35" s="42"/>
      <c r="R35" s="42"/>
      <c r="S35" s="44"/>
      <c r="T35" s="207"/>
      <c r="U35" s="208"/>
      <c r="V35" s="209"/>
      <c r="W35" s="202"/>
      <c r="X35" s="204"/>
      <c r="Y35" s="202"/>
      <c r="Z35" s="204"/>
      <c r="AA35" s="220"/>
      <c r="AB35" s="221"/>
      <c r="AC35" s="45"/>
      <c r="AD35" s="23"/>
      <c r="AE35" s="23"/>
      <c r="AF35" s="23"/>
      <c r="AG35" s="50"/>
      <c r="AH35" s="220"/>
      <c r="AI35" s="221"/>
      <c r="AJ35" s="223"/>
      <c r="AK35" s="224"/>
      <c r="AL35" s="220"/>
      <c r="AM35" s="222"/>
      <c r="AN35" s="221"/>
      <c r="AO35" s="205"/>
      <c r="AP35" s="205"/>
      <c r="AQ35" s="205"/>
      <c r="AR35" s="205"/>
      <c r="AS35" s="205"/>
      <c r="AT35" s="205"/>
      <c r="AU35" s="205"/>
      <c r="AV35" s="205"/>
      <c r="AW35" s="205"/>
      <c r="AX35" s="205"/>
      <c r="AY35" s="206"/>
    </row>
    <row r="36" spans="1:51">
      <c r="A36" s="218">
        <f t="shared" si="0"/>
        <v>25</v>
      </c>
      <c r="B36" s="219"/>
      <c r="C36" s="48"/>
      <c r="D36" s="42"/>
      <c r="E36" s="42"/>
      <c r="F36" s="42"/>
      <c r="G36" s="42"/>
      <c r="H36" s="42"/>
      <c r="I36" s="42"/>
      <c r="J36" s="42"/>
      <c r="K36" s="44"/>
      <c r="L36" s="48"/>
      <c r="M36" s="42"/>
      <c r="N36" s="42"/>
      <c r="O36" s="42"/>
      <c r="P36" s="42"/>
      <c r="Q36" s="42"/>
      <c r="R36" s="42"/>
      <c r="S36" s="44"/>
      <c r="T36" s="207"/>
      <c r="U36" s="208"/>
      <c r="V36" s="209"/>
      <c r="W36" s="202"/>
      <c r="X36" s="204"/>
      <c r="Y36" s="220"/>
      <c r="Z36" s="221"/>
      <c r="AA36" s="215"/>
      <c r="AB36" s="216"/>
      <c r="AC36" s="46"/>
      <c r="AD36" s="24"/>
      <c r="AE36" s="24"/>
      <c r="AF36" s="24"/>
      <c r="AG36" s="51"/>
      <c r="AH36" s="215"/>
      <c r="AI36" s="216"/>
      <c r="AJ36" s="212"/>
      <c r="AK36" s="213"/>
      <c r="AL36" s="215"/>
      <c r="AM36" s="217"/>
      <c r="AN36" s="216"/>
      <c r="AO36" s="205"/>
      <c r="AP36" s="205"/>
      <c r="AQ36" s="205"/>
      <c r="AR36" s="205"/>
      <c r="AS36" s="205"/>
      <c r="AT36" s="205"/>
      <c r="AU36" s="205"/>
      <c r="AV36" s="205"/>
      <c r="AW36" s="205"/>
      <c r="AX36" s="205"/>
      <c r="AY36" s="206"/>
    </row>
    <row r="37" spans="1:51">
      <c r="A37" s="202">
        <f t="shared" si="0"/>
        <v>26</v>
      </c>
      <c r="B37" s="204"/>
      <c r="C37" s="48"/>
      <c r="D37" s="42"/>
      <c r="E37" s="42"/>
      <c r="F37" s="42"/>
      <c r="G37" s="42"/>
      <c r="H37" s="42"/>
      <c r="I37" s="42"/>
      <c r="J37" s="42"/>
      <c r="K37" s="44"/>
      <c r="L37" s="48"/>
      <c r="M37" s="42"/>
      <c r="N37" s="42"/>
      <c r="O37" s="42"/>
      <c r="P37" s="42"/>
      <c r="Q37" s="42"/>
      <c r="R37" s="42"/>
      <c r="S37" s="44"/>
      <c r="T37" s="207"/>
      <c r="U37" s="208"/>
      <c r="V37" s="209"/>
      <c r="W37" s="202"/>
      <c r="X37" s="204"/>
      <c r="Y37" s="220"/>
      <c r="Z37" s="221"/>
      <c r="AA37" s="215"/>
      <c r="AB37" s="216"/>
      <c r="AC37" s="46"/>
      <c r="AD37" s="24"/>
      <c r="AE37" s="24"/>
      <c r="AF37" s="24"/>
      <c r="AG37" s="51"/>
      <c r="AH37" s="215"/>
      <c r="AI37" s="216"/>
      <c r="AJ37" s="212"/>
      <c r="AK37" s="213"/>
      <c r="AL37" s="215"/>
      <c r="AM37" s="217"/>
      <c r="AN37" s="216"/>
      <c r="AO37" s="205"/>
      <c r="AP37" s="205"/>
      <c r="AQ37" s="205"/>
      <c r="AR37" s="205"/>
      <c r="AS37" s="205"/>
      <c r="AT37" s="205"/>
      <c r="AU37" s="205"/>
      <c r="AV37" s="205"/>
      <c r="AW37" s="205"/>
      <c r="AX37" s="205"/>
      <c r="AY37" s="206"/>
    </row>
    <row r="38" spans="1:51">
      <c r="A38" s="218">
        <f t="shared" si="0"/>
        <v>27</v>
      </c>
      <c r="B38" s="219"/>
      <c r="C38" s="48"/>
      <c r="D38" s="42"/>
      <c r="E38" s="42"/>
      <c r="F38" s="42"/>
      <c r="G38" s="42"/>
      <c r="H38" s="42"/>
      <c r="I38" s="42"/>
      <c r="J38" s="42"/>
      <c r="K38" s="44"/>
      <c r="L38" s="48"/>
      <c r="M38" s="42"/>
      <c r="N38" s="42"/>
      <c r="O38" s="42"/>
      <c r="P38" s="42"/>
      <c r="Q38" s="42"/>
      <c r="R38" s="42"/>
      <c r="S38" s="44"/>
      <c r="T38" s="207"/>
      <c r="U38" s="208"/>
      <c r="V38" s="209"/>
      <c r="W38" s="202"/>
      <c r="X38" s="204"/>
      <c r="Y38" s="202"/>
      <c r="Z38" s="204"/>
      <c r="AA38" s="215"/>
      <c r="AB38" s="216"/>
      <c r="AC38" s="46"/>
      <c r="AD38" s="24"/>
      <c r="AE38" s="24"/>
      <c r="AF38" s="24"/>
      <c r="AG38" s="51"/>
      <c r="AH38" s="215"/>
      <c r="AI38" s="216"/>
      <c r="AJ38" s="212"/>
      <c r="AK38" s="213"/>
      <c r="AL38" s="215"/>
      <c r="AM38" s="217"/>
      <c r="AN38" s="216"/>
      <c r="AO38" s="205"/>
      <c r="AP38" s="205"/>
      <c r="AQ38" s="205"/>
      <c r="AR38" s="205"/>
      <c r="AS38" s="205"/>
      <c r="AT38" s="205"/>
      <c r="AU38" s="205"/>
      <c r="AV38" s="205"/>
      <c r="AW38" s="205"/>
      <c r="AX38" s="205"/>
      <c r="AY38" s="206"/>
    </row>
    <row r="39" spans="1:51">
      <c r="A39" s="202">
        <f t="shared" si="0"/>
        <v>28</v>
      </c>
      <c r="B39" s="204"/>
      <c r="C39" s="48"/>
      <c r="D39" s="42"/>
      <c r="E39" s="42"/>
      <c r="F39" s="42"/>
      <c r="G39" s="42"/>
      <c r="H39" s="42"/>
      <c r="I39" s="42"/>
      <c r="J39" s="42"/>
      <c r="K39" s="44"/>
      <c r="L39" s="48"/>
      <c r="M39" s="42"/>
      <c r="N39" s="42"/>
      <c r="O39" s="42"/>
      <c r="P39" s="42"/>
      <c r="Q39" s="42"/>
      <c r="R39" s="42"/>
      <c r="S39" s="44"/>
      <c r="T39" s="207"/>
      <c r="U39" s="208"/>
      <c r="V39" s="209"/>
      <c r="W39" s="220"/>
      <c r="X39" s="221"/>
      <c r="Y39" s="220"/>
      <c r="Z39" s="221"/>
      <c r="AA39" s="215"/>
      <c r="AB39" s="216"/>
      <c r="AC39" s="46"/>
      <c r="AD39" s="24"/>
      <c r="AE39" s="24"/>
      <c r="AF39" s="24"/>
      <c r="AG39" s="51"/>
      <c r="AH39" s="215"/>
      <c r="AI39" s="216"/>
      <c r="AJ39" s="212"/>
      <c r="AK39" s="213"/>
      <c r="AL39" s="215"/>
      <c r="AM39" s="217"/>
      <c r="AN39" s="216"/>
      <c r="AO39" s="205"/>
      <c r="AP39" s="205"/>
      <c r="AQ39" s="205"/>
      <c r="AR39" s="205"/>
      <c r="AS39" s="205"/>
      <c r="AT39" s="205"/>
      <c r="AU39" s="205"/>
      <c r="AV39" s="205"/>
      <c r="AW39" s="205"/>
      <c r="AX39" s="205"/>
      <c r="AY39" s="206"/>
    </row>
    <row r="40" spans="1:51">
      <c r="A40" s="202">
        <f t="shared" si="0"/>
        <v>29</v>
      </c>
      <c r="B40" s="204"/>
      <c r="C40" s="48"/>
      <c r="D40" s="42"/>
      <c r="E40" s="42"/>
      <c r="F40" s="42"/>
      <c r="G40" s="42"/>
      <c r="H40" s="42"/>
      <c r="I40" s="42"/>
      <c r="J40" s="42"/>
      <c r="K40" s="44"/>
      <c r="L40" s="48"/>
      <c r="M40" s="42"/>
      <c r="N40" s="42"/>
      <c r="O40" s="42"/>
      <c r="P40" s="42"/>
      <c r="Q40" s="42"/>
      <c r="R40" s="42"/>
      <c r="S40" s="44"/>
      <c r="T40" s="207"/>
      <c r="U40" s="208"/>
      <c r="V40" s="209"/>
      <c r="W40" s="220"/>
      <c r="X40" s="221"/>
      <c r="Y40" s="220"/>
      <c r="Z40" s="221"/>
      <c r="AA40" s="215"/>
      <c r="AB40" s="216"/>
      <c r="AC40" s="46"/>
      <c r="AD40" s="24"/>
      <c r="AE40" s="24"/>
      <c r="AF40" s="24"/>
      <c r="AG40" s="51"/>
      <c r="AH40" s="215"/>
      <c r="AI40" s="216"/>
      <c r="AJ40" s="212"/>
      <c r="AK40" s="213"/>
      <c r="AL40" s="215"/>
      <c r="AM40" s="217"/>
      <c r="AN40" s="216"/>
      <c r="AO40" s="205"/>
      <c r="AP40" s="205"/>
      <c r="AQ40" s="205"/>
      <c r="AR40" s="205"/>
      <c r="AS40" s="205"/>
      <c r="AT40" s="205"/>
      <c r="AU40" s="205"/>
      <c r="AV40" s="205"/>
      <c r="AW40" s="205"/>
      <c r="AX40" s="205"/>
      <c r="AY40" s="206"/>
    </row>
    <row r="41" spans="1:51">
      <c r="A41" s="218">
        <f t="shared" si="0"/>
        <v>30</v>
      </c>
      <c r="B41" s="219"/>
      <c r="C41" s="48"/>
      <c r="D41" s="42"/>
      <c r="E41" s="42"/>
      <c r="F41" s="42"/>
      <c r="G41" s="42"/>
      <c r="H41" s="42"/>
      <c r="I41" s="42"/>
      <c r="J41" s="42"/>
      <c r="K41" s="44"/>
      <c r="L41" s="48"/>
      <c r="M41" s="42"/>
      <c r="N41" s="42"/>
      <c r="O41" s="42"/>
      <c r="P41" s="42"/>
      <c r="Q41" s="42"/>
      <c r="R41" s="42"/>
      <c r="S41" s="44"/>
      <c r="T41" s="207"/>
      <c r="U41" s="208"/>
      <c r="V41" s="209"/>
      <c r="W41" s="220"/>
      <c r="X41" s="221"/>
      <c r="Y41" s="220"/>
      <c r="Z41" s="221"/>
      <c r="AA41" s="215"/>
      <c r="AB41" s="216"/>
      <c r="AC41" s="46"/>
      <c r="AD41" s="24"/>
      <c r="AE41" s="24"/>
      <c r="AF41" s="24"/>
      <c r="AG41" s="51"/>
      <c r="AH41" s="215"/>
      <c r="AI41" s="216"/>
      <c r="AJ41" s="212"/>
      <c r="AK41" s="213"/>
      <c r="AL41" s="215"/>
      <c r="AM41" s="217"/>
      <c r="AN41" s="216"/>
      <c r="AO41" s="205"/>
      <c r="AP41" s="205"/>
      <c r="AQ41" s="205"/>
      <c r="AR41" s="205"/>
      <c r="AS41" s="205"/>
      <c r="AT41" s="205"/>
      <c r="AU41" s="205"/>
      <c r="AV41" s="205"/>
      <c r="AW41" s="205"/>
      <c r="AX41" s="205"/>
      <c r="AY41" s="206"/>
    </row>
    <row r="42" spans="1:51">
      <c r="A42" s="202">
        <f t="shared" si="0"/>
        <v>31</v>
      </c>
      <c r="B42" s="204"/>
      <c r="C42" s="48"/>
      <c r="D42" s="42"/>
      <c r="E42" s="42"/>
      <c r="F42" s="42"/>
      <c r="G42" s="42"/>
      <c r="H42" s="42"/>
      <c r="I42" s="42"/>
      <c r="J42" s="42"/>
      <c r="K42" s="44"/>
      <c r="L42" s="48"/>
      <c r="M42" s="42"/>
      <c r="N42" s="42"/>
      <c r="O42" s="42"/>
      <c r="P42" s="42"/>
      <c r="Q42" s="42"/>
      <c r="R42" s="42"/>
      <c r="S42" s="44"/>
      <c r="T42" s="207"/>
      <c r="U42" s="208"/>
      <c r="V42" s="209"/>
      <c r="W42" s="220"/>
      <c r="X42" s="221"/>
      <c r="Y42" s="220"/>
      <c r="Z42" s="221"/>
      <c r="AA42" s="215"/>
      <c r="AB42" s="216"/>
      <c r="AC42" s="46"/>
      <c r="AD42" s="24"/>
      <c r="AE42" s="24"/>
      <c r="AF42" s="24"/>
      <c r="AG42" s="51"/>
      <c r="AH42" s="215"/>
      <c r="AI42" s="216"/>
      <c r="AJ42" s="212"/>
      <c r="AK42" s="213"/>
      <c r="AL42" s="215"/>
      <c r="AM42" s="217"/>
      <c r="AN42" s="216"/>
      <c r="AO42" s="205"/>
      <c r="AP42" s="205"/>
      <c r="AQ42" s="205"/>
      <c r="AR42" s="205"/>
      <c r="AS42" s="205"/>
      <c r="AT42" s="205"/>
      <c r="AU42" s="205"/>
      <c r="AV42" s="205"/>
      <c r="AW42" s="205"/>
      <c r="AX42" s="205"/>
      <c r="AY42" s="206"/>
    </row>
    <row r="43" spans="1:51">
      <c r="A43" s="202">
        <f t="shared" si="0"/>
        <v>32</v>
      </c>
      <c r="B43" s="204"/>
      <c r="C43" s="48"/>
      <c r="D43" s="42"/>
      <c r="E43" s="42"/>
      <c r="F43" s="42"/>
      <c r="G43" s="42"/>
      <c r="H43" s="42"/>
      <c r="I43" s="42"/>
      <c r="J43" s="42"/>
      <c r="K43" s="44"/>
      <c r="L43" s="48"/>
      <c r="M43" s="42"/>
      <c r="N43" s="42"/>
      <c r="O43" s="42"/>
      <c r="P43" s="42"/>
      <c r="Q43" s="42"/>
      <c r="R43" s="42"/>
      <c r="S43" s="44"/>
      <c r="T43" s="207"/>
      <c r="U43" s="208"/>
      <c r="V43" s="209"/>
      <c r="W43" s="220"/>
      <c r="X43" s="221"/>
      <c r="Y43" s="220"/>
      <c r="Z43" s="221"/>
      <c r="AA43" s="215"/>
      <c r="AB43" s="216"/>
      <c r="AC43" s="46"/>
      <c r="AD43" s="24"/>
      <c r="AE43" s="24"/>
      <c r="AF43" s="24"/>
      <c r="AG43" s="51"/>
      <c r="AH43" s="215"/>
      <c r="AI43" s="216"/>
      <c r="AJ43" s="212"/>
      <c r="AK43" s="213"/>
      <c r="AL43" s="215"/>
      <c r="AM43" s="217"/>
      <c r="AN43" s="216"/>
      <c r="AO43" s="205"/>
      <c r="AP43" s="205"/>
      <c r="AQ43" s="205"/>
      <c r="AR43" s="205"/>
      <c r="AS43" s="205"/>
      <c r="AT43" s="205"/>
      <c r="AU43" s="205"/>
      <c r="AV43" s="205"/>
      <c r="AW43" s="205"/>
      <c r="AX43" s="205"/>
      <c r="AY43" s="206"/>
    </row>
    <row r="44" spans="1:51">
      <c r="A44" s="202">
        <f t="shared" si="0"/>
        <v>33</v>
      </c>
      <c r="B44" s="204"/>
      <c r="C44" s="48"/>
      <c r="D44" s="42"/>
      <c r="E44" s="42"/>
      <c r="F44" s="42"/>
      <c r="G44" s="42"/>
      <c r="H44" s="42"/>
      <c r="I44" s="42"/>
      <c r="J44" s="42"/>
      <c r="K44" s="44"/>
      <c r="L44" s="48"/>
      <c r="M44" s="42"/>
      <c r="N44" s="42"/>
      <c r="O44" s="42"/>
      <c r="P44" s="42"/>
      <c r="Q44" s="42"/>
      <c r="R44" s="42"/>
      <c r="S44" s="44"/>
      <c r="T44" s="207"/>
      <c r="U44" s="208"/>
      <c r="V44" s="209"/>
      <c r="W44" s="220"/>
      <c r="X44" s="221"/>
      <c r="Y44" s="220"/>
      <c r="Z44" s="221"/>
      <c r="AA44" s="215"/>
      <c r="AB44" s="216"/>
      <c r="AC44" s="46"/>
      <c r="AD44" s="24"/>
      <c r="AE44" s="24"/>
      <c r="AF44" s="24"/>
      <c r="AG44" s="51"/>
      <c r="AH44" s="215"/>
      <c r="AI44" s="216"/>
      <c r="AJ44" s="212"/>
      <c r="AK44" s="213"/>
      <c r="AL44" s="215"/>
      <c r="AM44" s="217"/>
      <c r="AN44" s="216"/>
      <c r="AO44" s="205"/>
      <c r="AP44" s="205"/>
      <c r="AQ44" s="205"/>
      <c r="AR44" s="205"/>
      <c r="AS44" s="205"/>
      <c r="AT44" s="205"/>
      <c r="AU44" s="205"/>
      <c r="AV44" s="205"/>
      <c r="AW44" s="205"/>
      <c r="AX44" s="205"/>
      <c r="AY44" s="206"/>
    </row>
    <row r="45" spans="1:51">
      <c r="A45" s="202">
        <f t="shared" si="0"/>
        <v>34</v>
      </c>
      <c r="B45" s="204"/>
      <c r="C45" s="48"/>
      <c r="D45" s="42"/>
      <c r="E45" s="42"/>
      <c r="F45" s="42"/>
      <c r="G45" s="42"/>
      <c r="H45" s="42"/>
      <c r="I45" s="42"/>
      <c r="J45" s="42"/>
      <c r="K45" s="44"/>
      <c r="L45" s="48"/>
      <c r="M45" s="42"/>
      <c r="N45" s="42"/>
      <c r="O45" s="42"/>
      <c r="P45" s="42"/>
      <c r="Q45" s="42"/>
      <c r="R45" s="42"/>
      <c r="S45" s="44"/>
      <c r="T45" s="207"/>
      <c r="U45" s="208"/>
      <c r="V45" s="209"/>
      <c r="W45" s="220"/>
      <c r="X45" s="221"/>
      <c r="Y45" s="215"/>
      <c r="Z45" s="216"/>
      <c r="AA45" s="215"/>
      <c r="AB45" s="216"/>
      <c r="AC45" s="46"/>
      <c r="AD45" s="24"/>
      <c r="AE45" s="24"/>
      <c r="AF45" s="24"/>
      <c r="AG45" s="51"/>
      <c r="AH45" s="215"/>
      <c r="AI45" s="216"/>
      <c r="AJ45" s="212"/>
      <c r="AK45" s="213"/>
      <c r="AL45" s="215"/>
      <c r="AM45" s="217"/>
      <c r="AN45" s="216"/>
      <c r="AO45" s="205"/>
      <c r="AP45" s="205"/>
      <c r="AQ45" s="205"/>
      <c r="AR45" s="205"/>
      <c r="AS45" s="205"/>
      <c r="AT45" s="205"/>
      <c r="AU45" s="205"/>
      <c r="AV45" s="205"/>
      <c r="AW45" s="205"/>
      <c r="AX45" s="205"/>
      <c r="AY45" s="206"/>
    </row>
    <row r="46" spans="1:51">
      <c r="A46" s="210">
        <f t="shared" si="0"/>
        <v>35</v>
      </c>
      <c r="B46" s="211"/>
      <c r="C46" s="48"/>
      <c r="D46" s="42"/>
      <c r="E46" s="42"/>
      <c r="F46" s="42"/>
      <c r="G46" s="42"/>
      <c r="H46" s="42"/>
      <c r="I46" s="42"/>
      <c r="J46" s="42"/>
      <c r="K46" s="44"/>
      <c r="L46" s="48"/>
      <c r="M46" s="42"/>
      <c r="N46" s="42"/>
      <c r="O46" s="42"/>
      <c r="P46" s="42"/>
      <c r="Q46" s="42"/>
      <c r="R46" s="42"/>
      <c r="S46" s="44"/>
      <c r="T46" s="207"/>
      <c r="U46" s="208"/>
      <c r="V46" s="209"/>
      <c r="W46" s="220"/>
      <c r="X46" s="221"/>
      <c r="Y46" s="225"/>
      <c r="Z46" s="226"/>
      <c r="AA46" s="225"/>
      <c r="AB46" s="226"/>
      <c r="AC46" s="43"/>
      <c r="AD46" s="10"/>
      <c r="AE46" s="10"/>
      <c r="AF46" s="10"/>
      <c r="AG46" s="52"/>
      <c r="AH46" s="225"/>
      <c r="AI46" s="226"/>
      <c r="AJ46" s="227"/>
      <c r="AK46" s="228"/>
      <c r="AL46" s="225"/>
      <c r="AM46" s="229"/>
      <c r="AN46" s="226"/>
      <c r="AO46" s="230"/>
      <c r="AP46" s="230"/>
      <c r="AQ46" s="230"/>
      <c r="AR46" s="230"/>
      <c r="AS46" s="230"/>
      <c r="AT46" s="230"/>
      <c r="AU46" s="230"/>
      <c r="AV46" s="230"/>
      <c r="AW46" s="230"/>
      <c r="AX46" s="230"/>
      <c r="AY46" s="231"/>
    </row>
    <row r="47" spans="1:51">
      <c r="A47" s="210">
        <f t="shared" si="0"/>
        <v>36</v>
      </c>
      <c r="B47" s="211"/>
      <c r="C47" s="48"/>
      <c r="D47" s="42"/>
      <c r="E47" s="42"/>
      <c r="F47" s="42"/>
      <c r="G47" s="42"/>
      <c r="H47" s="42"/>
      <c r="I47" s="42"/>
      <c r="J47" s="42"/>
      <c r="K47" s="44"/>
      <c r="L47" s="48"/>
      <c r="M47" s="42"/>
      <c r="N47" s="42"/>
      <c r="O47" s="42"/>
      <c r="P47" s="42"/>
      <c r="Q47" s="42"/>
      <c r="R47" s="42"/>
      <c r="S47" s="44"/>
      <c r="T47" s="207"/>
      <c r="U47" s="208"/>
      <c r="V47" s="209"/>
      <c r="W47" s="220"/>
      <c r="X47" s="221"/>
      <c r="Y47" s="225"/>
      <c r="Z47" s="226"/>
      <c r="AA47" s="225"/>
      <c r="AB47" s="226"/>
      <c r="AC47" s="43"/>
      <c r="AD47" s="10"/>
      <c r="AE47" s="10"/>
      <c r="AF47" s="10"/>
      <c r="AG47" s="52"/>
      <c r="AH47" s="225"/>
      <c r="AI47" s="226"/>
      <c r="AJ47" s="227"/>
      <c r="AK47" s="228"/>
      <c r="AL47" s="225"/>
      <c r="AM47" s="229"/>
      <c r="AN47" s="226"/>
      <c r="AO47" s="230"/>
      <c r="AP47" s="230"/>
      <c r="AQ47" s="230"/>
      <c r="AR47" s="230"/>
      <c r="AS47" s="230"/>
      <c r="AT47" s="230"/>
      <c r="AU47" s="230"/>
      <c r="AV47" s="230"/>
      <c r="AW47" s="230"/>
      <c r="AX47" s="230"/>
      <c r="AY47" s="231"/>
    </row>
    <row r="48" spans="1:51">
      <c r="A48" s="210">
        <f t="shared" si="0"/>
        <v>37</v>
      </c>
      <c r="B48" s="211"/>
      <c r="C48" s="48"/>
      <c r="D48" s="42"/>
      <c r="E48" s="42"/>
      <c r="F48" s="42"/>
      <c r="G48" s="42"/>
      <c r="H48" s="42"/>
      <c r="I48" s="42"/>
      <c r="J48" s="42"/>
      <c r="K48" s="44"/>
      <c r="L48" s="48"/>
      <c r="M48" s="42"/>
      <c r="N48" s="42"/>
      <c r="O48" s="42"/>
      <c r="P48" s="42"/>
      <c r="Q48" s="42"/>
      <c r="R48" s="42"/>
      <c r="S48" s="44"/>
      <c r="T48" s="207"/>
      <c r="U48" s="208"/>
      <c r="V48" s="209"/>
      <c r="W48" s="220"/>
      <c r="X48" s="221"/>
      <c r="Y48" s="225"/>
      <c r="Z48" s="226"/>
      <c r="AA48" s="225"/>
      <c r="AB48" s="226"/>
      <c r="AC48" s="43"/>
      <c r="AD48" s="10"/>
      <c r="AE48" s="10"/>
      <c r="AF48" s="10"/>
      <c r="AG48" s="52"/>
      <c r="AH48" s="225"/>
      <c r="AI48" s="226"/>
      <c r="AJ48" s="227"/>
      <c r="AK48" s="228"/>
      <c r="AL48" s="225"/>
      <c r="AM48" s="229"/>
      <c r="AN48" s="226"/>
      <c r="AO48" s="230"/>
      <c r="AP48" s="230"/>
      <c r="AQ48" s="230"/>
      <c r="AR48" s="230"/>
      <c r="AS48" s="230"/>
      <c r="AT48" s="230"/>
      <c r="AU48" s="230"/>
      <c r="AV48" s="230"/>
      <c r="AW48" s="230"/>
      <c r="AX48" s="230"/>
      <c r="AY48" s="231"/>
    </row>
    <row r="49" spans="1:51">
      <c r="A49" s="210">
        <f t="shared" si="0"/>
        <v>38</v>
      </c>
      <c r="B49" s="211"/>
      <c r="C49" s="48"/>
      <c r="D49" s="42"/>
      <c r="E49" s="42"/>
      <c r="F49" s="42"/>
      <c r="G49" s="42"/>
      <c r="H49" s="42"/>
      <c r="I49" s="42"/>
      <c r="J49" s="42"/>
      <c r="K49" s="44"/>
      <c r="L49" s="48"/>
      <c r="M49" s="42"/>
      <c r="N49" s="42"/>
      <c r="O49" s="42"/>
      <c r="P49" s="42"/>
      <c r="Q49" s="42"/>
      <c r="R49" s="42"/>
      <c r="S49" s="44"/>
      <c r="T49" s="207"/>
      <c r="U49" s="208"/>
      <c r="V49" s="209"/>
      <c r="W49" s="220"/>
      <c r="X49" s="221"/>
      <c r="Y49" s="225"/>
      <c r="Z49" s="226"/>
      <c r="AA49" s="225"/>
      <c r="AB49" s="226"/>
      <c r="AC49" s="43"/>
      <c r="AD49" s="10"/>
      <c r="AE49" s="10"/>
      <c r="AF49" s="10"/>
      <c r="AG49" s="52"/>
      <c r="AH49" s="225"/>
      <c r="AI49" s="226"/>
      <c r="AJ49" s="227"/>
      <c r="AK49" s="228"/>
      <c r="AL49" s="225"/>
      <c r="AM49" s="229"/>
      <c r="AN49" s="226"/>
      <c r="AO49" s="230"/>
      <c r="AP49" s="230"/>
      <c r="AQ49" s="230"/>
      <c r="AR49" s="230"/>
      <c r="AS49" s="230"/>
      <c r="AT49" s="230"/>
      <c r="AU49" s="230"/>
      <c r="AV49" s="230"/>
      <c r="AW49" s="230"/>
      <c r="AX49" s="230"/>
      <c r="AY49" s="231"/>
    </row>
    <row r="50" spans="1:51">
      <c r="A50" s="210">
        <f t="shared" si="0"/>
        <v>39</v>
      </c>
      <c r="B50" s="211"/>
      <c r="C50" s="48"/>
      <c r="D50" s="42"/>
      <c r="E50" s="42"/>
      <c r="F50" s="42"/>
      <c r="G50" s="42"/>
      <c r="H50" s="42"/>
      <c r="I50" s="42"/>
      <c r="J50" s="42"/>
      <c r="K50" s="44"/>
      <c r="L50" s="48"/>
      <c r="M50" s="42"/>
      <c r="N50" s="42"/>
      <c r="O50" s="42"/>
      <c r="P50" s="42"/>
      <c r="Q50" s="42"/>
      <c r="R50" s="42"/>
      <c r="S50" s="44"/>
      <c r="T50" s="207"/>
      <c r="U50" s="208"/>
      <c r="V50" s="209"/>
      <c r="W50" s="220"/>
      <c r="X50" s="221"/>
      <c r="Y50" s="225"/>
      <c r="Z50" s="226"/>
      <c r="AA50" s="225"/>
      <c r="AB50" s="226"/>
      <c r="AC50" s="43"/>
      <c r="AD50" s="10"/>
      <c r="AE50" s="10"/>
      <c r="AF50" s="10"/>
      <c r="AG50" s="52"/>
      <c r="AH50" s="225"/>
      <c r="AI50" s="226"/>
      <c r="AJ50" s="227"/>
      <c r="AK50" s="228"/>
      <c r="AL50" s="225"/>
      <c r="AM50" s="229"/>
      <c r="AN50" s="226"/>
      <c r="AO50" s="230"/>
      <c r="AP50" s="230"/>
      <c r="AQ50" s="230"/>
      <c r="AR50" s="230"/>
      <c r="AS50" s="230"/>
      <c r="AT50" s="230"/>
      <c r="AU50" s="230"/>
      <c r="AV50" s="230"/>
      <c r="AW50" s="230"/>
      <c r="AX50" s="230"/>
      <c r="AY50" s="231"/>
    </row>
    <row r="51" spans="1:51">
      <c r="A51" s="210">
        <f t="shared" si="0"/>
        <v>40</v>
      </c>
      <c r="B51" s="211"/>
      <c r="C51" s="48"/>
      <c r="D51" s="42"/>
      <c r="E51" s="42"/>
      <c r="F51" s="42"/>
      <c r="G51" s="42"/>
      <c r="H51" s="42"/>
      <c r="I51" s="42"/>
      <c r="J51" s="42"/>
      <c r="K51" s="44"/>
      <c r="L51" s="48"/>
      <c r="M51" s="42"/>
      <c r="N51" s="42"/>
      <c r="O51" s="42"/>
      <c r="P51" s="42"/>
      <c r="Q51" s="42"/>
      <c r="R51" s="42"/>
      <c r="S51" s="44"/>
      <c r="T51" s="207"/>
      <c r="U51" s="208"/>
      <c r="V51" s="209"/>
      <c r="W51" s="220"/>
      <c r="X51" s="221"/>
      <c r="Y51" s="225"/>
      <c r="Z51" s="226"/>
      <c r="AA51" s="225"/>
      <c r="AB51" s="226"/>
      <c r="AC51" s="43"/>
      <c r="AD51" s="10"/>
      <c r="AE51" s="10"/>
      <c r="AF51" s="10"/>
      <c r="AG51" s="52"/>
      <c r="AH51" s="225"/>
      <c r="AI51" s="226"/>
      <c r="AJ51" s="227"/>
      <c r="AK51" s="228"/>
      <c r="AL51" s="225"/>
      <c r="AM51" s="229"/>
      <c r="AN51" s="226"/>
      <c r="AO51" s="230"/>
      <c r="AP51" s="230"/>
      <c r="AQ51" s="230"/>
      <c r="AR51" s="230"/>
      <c r="AS51" s="230"/>
      <c r="AT51" s="230"/>
      <c r="AU51" s="230"/>
      <c r="AV51" s="230"/>
      <c r="AW51" s="230"/>
      <c r="AX51" s="230"/>
      <c r="AY51" s="231"/>
    </row>
    <row r="52" spans="1:51">
      <c r="A52" s="210">
        <f t="shared" si="0"/>
        <v>41</v>
      </c>
      <c r="B52" s="211"/>
      <c r="C52" s="48"/>
      <c r="D52" s="42"/>
      <c r="E52" s="42"/>
      <c r="F52" s="42"/>
      <c r="G52" s="42"/>
      <c r="H52" s="42"/>
      <c r="I52" s="42"/>
      <c r="J52" s="42"/>
      <c r="K52" s="44"/>
      <c r="L52" s="48"/>
      <c r="M52" s="42"/>
      <c r="N52" s="42"/>
      <c r="O52" s="42"/>
      <c r="P52" s="42"/>
      <c r="Q52" s="42"/>
      <c r="R52" s="42"/>
      <c r="S52" s="44"/>
      <c r="T52" s="207"/>
      <c r="U52" s="208"/>
      <c r="V52" s="209"/>
      <c r="W52" s="225"/>
      <c r="X52" s="226"/>
      <c r="Y52" s="225"/>
      <c r="Z52" s="226"/>
      <c r="AA52" s="225"/>
      <c r="AB52" s="226"/>
      <c r="AC52" s="43"/>
      <c r="AD52" s="10"/>
      <c r="AE52" s="10"/>
      <c r="AF52" s="10"/>
      <c r="AG52" s="52"/>
      <c r="AH52" s="225"/>
      <c r="AI52" s="226"/>
      <c r="AJ52" s="227"/>
      <c r="AK52" s="228"/>
      <c r="AL52" s="225"/>
      <c r="AM52" s="229"/>
      <c r="AN52" s="226"/>
      <c r="AO52" s="230"/>
      <c r="AP52" s="230"/>
      <c r="AQ52" s="230"/>
      <c r="AR52" s="230"/>
      <c r="AS52" s="230"/>
      <c r="AT52" s="230"/>
      <c r="AU52" s="230"/>
      <c r="AV52" s="230"/>
      <c r="AW52" s="230"/>
      <c r="AX52" s="230"/>
      <c r="AY52" s="231"/>
    </row>
    <row r="53" spans="1:51">
      <c r="A53" s="210">
        <f t="shared" si="0"/>
        <v>42</v>
      </c>
      <c r="B53" s="211"/>
      <c r="C53" s="48"/>
      <c r="D53" s="42"/>
      <c r="E53" s="42"/>
      <c r="F53" s="42"/>
      <c r="G53" s="42"/>
      <c r="H53" s="42"/>
      <c r="I53" s="42"/>
      <c r="J53" s="42"/>
      <c r="K53" s="44"/>
      <c r="L53" s="48"/>
      <c r="M53" s="42"/>
      <c r="N53" s="42"/>
      <c r="O53" s="42"/>
      <c r="P53" s="42"/>
      <c r="Q53" s="42"/>
      <c r="R53" s="42"/>
      <c r="S53" s="44"/>
      <c r="T53" s="207"/>
      <c r="U53" s="208"/>
      <c r="V53" s="209"/>
      <c r="W53" s="225"/>
      <c r="X53" s="226"/>
      <c r="Y53" s="225"/>
      <c r="Z53" s="226"/>
      <c r="AA53" s="225"/>
      <c r="AB53" s="226"/>
      <c r="AC53" s="43"/>
      <c r="AD53" s="10"/>
      <c r="AE53" s="10"/>
      <c r="AF53" s="10"/>
      <c r="AG53" s="52"/>
      <c r="AH53" s="225"/>
      <c r="AI53" s="226"/>
      <c r="AJ53" s="227"/>
      <c r="AK53" s="228"/>
      <c r="AL53" s="225"/>
      <c r="AM53" s="229"/>
      <c r="AN53" s="226"/>
      <c r="AO53" s="230"/>
      <c r="AP53" s="230"/>
      <c r="AQ53" s="230"/>
      <c r="AR53" s="230"/>
      <c r="AS53" s="230"/>
      <c r="AT53" s="230"/>
      <c r="AU53" s="230"/>
      <c r="AV53" s="230"/>
      <c r="AW53" s="230"/>
      <c r="AX53" s="230"/>
      <c r="AY53" s="231"/>
    </row>
    <row r="54" spans="1:51">
      <c r="A54" s="210">
        <f t="shared" si="0"/>
        <v>43</v>
      </c>
      <c r="B54" s="211"/>
      <c r="C54" s="48"/>
      <c r="D54" s="42"/>
      <c r="E54" s="42"/>
      <c r="F54" s="42"/>
      <c r="G54" s="42"/>
      <c r="H54" s="42"/>
      <c r="I54" s="42"/>
      <c r="J54" s="42"/>
      <c r="K54" s="44"/>
      <c r="L54" s="48"/>
      <c r="M54" s="42"/>
      <c r="N54" s="42"/>
      <c r="O54" s="42"/>
      <c r="P54" s="42"/>
      <c r="Q54" s="42"/>
      <c r="R54" s="42"/>
      <c r="S54" s="44"/>
      <c r="T54" s="207"/>
      <c r="U54" s="208"/>
      <c r="V54" s="209"/>
      <c r="W54" s="225"/>
      <c r="X54" s="226"/>
      <c r="Y54" s="225"/>
      <c r="Z54" s="226"/>
      <c r="AA54" s="225"/>
      <c r="AB54" s="226"/>
      <c r="AC54" s="43"/>
      <c r="AD54" s="10"/>
      <c r="AE54" s="10"/>
      <c r="AF54" s="10"/>
      <c r="AG54" s="52"/>
      <c r="AH54" s="225"/>
      <c r="AI54" s="226"/>
      <c r="AJ54" s="227"/>
      <c r="AK54" s="228"/>
      <c r="AL54" s="225"/>
      <c r="AM54" s="229"/>
      <c r="AN54" s="226"/>
      <c r="AO54" s="230"/>
      <c r="AP54" s="230"/>
      <c r="AQ54" s="230"/>
      <c r="AR54" s="230"/>
      <c r="AS54" s="230"/>
      <c r="AT54" s="230"/>
      <c r="AU54" s="230"/>
      <c r="AV54" s="230"/>
      <c r="AW54" s="230"/>
      <c r="AX54" s="230"/>
      <c r="AY54" s="231"/>
    </row>
  </sheetData>
  <mergeCells count="465">
    <mergeCell ref="AJ54:AK54"/>
    <mergeCell ref="AL54:AN54"/>
    <mergeCell ref="AO54:AY54"/>
    <mergeCell ref="A54:B54"/>
    <mergeCell ref="T54:V54"/>
    <mergeCell ref="W54:X54"/>
    <mergeCell ref="Y54:Z54"/>
    <mergeCell ref="AA54:AB54"/>
    <mergeCell ref="AH54:AI54"/>
    <mergeCell ref="A53:B53"/>
    <mergeCell ref="T53:V53"/>
    <mergeCell ref="W53:X53"/>
    <mergeCell ref="Y53:Z53"/>
    <mergeCell ref="AA53:AB53"/>
    <mergeCell ref="AH53:AI53"/>
    <mergeCell ref="AJ53:AK53"/>
    <mergeCell ref="AL53:AN53"/>
    <mergeCell ref="AO53:AY53"/>
    <mergeCell ref="A52:B52"/>
    <mergeCell ref="T52:V52"/>
    <mergeCell ref="W52:X52"/>
    <mergeCell ref="Y52:Z52"/>
    <mergeCell ref="AA52:AB52"/>
    <mergeCell ref="AH52:AI52"/>
    <mergeCell ref="AJ52:AK52"/>
    <mergeCell ref="AL52:AN52"/>
    <mergeCell ref="AO52:AY52"/>
    <mergeCell ref="AJ50:AK50"/>
    <mergeCell ref="AL50:AN50"/>
    <mergeCell ref="AO50:AY50"/>
    <mergeCell ref="A51:B51"/>
    <mergeCell ref="T51:V51"/>
    <mergeCell ref="W51:X51"/>
    <mergeCell ref="Y51:Z51"/>
    <mergeCell ref="AA51:AB51"/>
    <mergeCell ref="AH51:AI51"/>
    <mergeCell ref="AJ51:AK51"/>
    <mergeCell ref="A50:B50"/>
    <mergeCell ref="T50:V50"/>
    <mergeCell ref="W50:X50"/>
    <mergeCell ref="Y50:Z50"/>
    <mergeCell ref="AA50:AB50"/>
    <mergeCell ref="AH50:AI50"/>
    <mergeCell ref="AL51:AN51"/>
    <mergeCell ref="AO51:AY51"/>
    <mergeCell ref="A49:B49"/>
    <mergeCell ref="T49:V49"/>
    <mergeCell ref="W49:X49"/>
    <mergeCell ref="Y49:Z49"/>
    <mergeCell ref="AA49:AB49"/>
    <mergeCell ref="AH49:AI49"/>
    <mergeCell ref="AJ49:AK49"/>
    <mergeCell ref="AL49:AN49"/>
    <mergeCell ref="AO49:AY49"/>
    <mergeCell ref="A48:B48"/>
    <mergeCell ref="T48:V48"/>
    <mergeCell ref="W48:X48"/>
    <mergeCell ref="Y48:Z48"/>
    <mergeCell ref="AA48:AB48"/>
    <mergeCell ref="AH48:AI48"/>
    <mergeCell ref="AJ48:AK48"/>
    <mergeCell ref="AL48:AN48"/>
    <mergeCell ref="AO48:AY48"/>
    <mergeCell ref="AJ46:AK46"/>
    <mergeCell ref="AL46:AN46"/>
    <mergeCell ref="AO46:AY46"/>
    <mergeCell ref="A47:B47"/>
    <mergeCell ref="T47:V47"/>
    <mergeCell ref="W47:X47"/>
    <mergeCell ref="Y47:Z47"/>
    <mergeCell ref="AA47:AB47"/>
    <mergeCell ref="AH47:AI47"/>
    <mergeCell ref="AJ47:AK47"/>
    <mergeCell ref="A46:B46"/>
    <mergeCell ref="T46:V46"/>
    <mergeCell ref="W46:X46"/>
    <mergeCell ref="Y46:Z46"/>
    <mergeCell ref="AA46:AB46"/>
    <mergeCell ref="AH46:AI46"/>
    <mergeCell ref="AL47:AN47"/>
    <mergeCell ref="AO47:AY47"/>
    <mergeCell ref="A45:B45"/>
    <mergeCell ref="T45:V45"/>
    <mergeCell ref="W45:X45"/>
    <mergeCell ref="Y45:Z45"/>
    <mergeCell ref="AA45:AB45"/>
    <mergeCell ref="AH45:AI45"/>
    <mergeCell ref="AJ45:AK45"/>
    <mergeCell ref="AL45:AN45"/>
    <mergeCell ref="AO45:AY45"/>
    <mergeCell ref="A44:B44"/>
    <mergeCell ref="T44:V44"/>
    <mergeCell ref="W44:X44"/>
    <mergeCell ref="Y44:Z44"/>
    <mergeCell ref="AA44:AB44"/>
    <mergeCell ref="AH44:AI44"/>
    <mergeCell ref="AJ44:AK44"/>
    <mergeCell ref="AL44:AN44"/>
    <mergeCell ref="AO44:AY44"/>
    <mergeCell ref="AJ42:AK42"/>
    <mergeCell ref="AL42:AN42"/>
    <mergeCell ref="AO42:AY42"/>
    <mergeCell ref="A43:B43"/>
    <mergeCell ref="T43:V43"/>
    <mergeCell ref="W43:X43"/>
    <mergeCell ref="Y43:Z43"/>
    <mergeCell ref="AA43:AB43"/>
    <mergeCell ref="AH43:AI43"/>
    <mergeCell ref="AJ43:AK43"/>
    <mergeCell ref="A42:B42"/>
    <mergeCell ref="T42:V42"/>
    <mergeCell ref="W42:X42"/>
    <mergeCell ref="Y42:Z42"/>
    <mergeCell ref="AA42:AB42"/>
    <mergeCell ref="AH42:AI42"/>
    <mergeCell ref="AL43:AN43"/>
    <mergeCell ref="AO43:AY43"/>
    <mergeCell ref="A41:B41"/>
    <mergeCell ref="T41:V41"/>
    <mergeCell ref="W41:X41"/>
    <mergeCell ref="Y41:Z41"/>
    <mergeCell ref="AA41:AB41"/>
    <mergeCell ref="AH41:AI41"/>
    <mergeCell ref="AJ41:AK41"/>
    <mergeCell ref="AL41:AN41"/>
    <mergeCell ref="AO41:AY41"/>
    <mergeCell ref="A40:B40"/>
    <mergeCell ref="T40:V40"/>
    <mergeCell ref="W40:X40"/>
    <mergeCell ref="Y40:Z40"/>
    <mergeCell ref="AA40:AB40"/>
    <mergeCell ref="AH40:AI40"/>
    <mergeCell ref="AJ40:AK40"/>
    <mergeCell ref="AL40:AN40"/>
    <mergeCell ref="AO40:AY40"/>
    <mergeCell ref="AJ38:AK38"/>
    <mergeCell ref="AL38:AN38"/>
    <mergeCell ref="AO38:AY38"/>
    <mergeCell ref="A39:B39"/>
    <mergeCell ref="T39:V39"/>
    <mergeCell ref="W39:X39"/>
    <mergeCell ref="Y39:Z39"/>
    <mergeCell ref="AA39:AB39"/>
    <mergeCell ref="AH39:AI39"/>
    <mergeCell ref="AJ39:AK39"/>
    <mergeCell ref="A38:B38"/>
    <mergeCell ref="T38:V38"/>
    <mergeCell ref="W38:X38"/>
    <mergeCell ref="Y38:Z38"/>
    <mergeCell ref="AA38:AB38"/>
    <mergeCell ref="AH38:AI38"/>
    <mergeCell ref="AL39:AN39"/>
    <mergeCell ref="AO39:AY39"/>
    <mergeCell ref="A37:B37"/>
    <mergeCell ref="T37:V37"/>
    <mergeCell ref="W37:X37"/>
    <mergeCell ref="Y37:Z37"/>
    <mergeCell ref="AA37:AB37"/>
    <mergeCell ref="AH37:AI37"/>
    <mergeCell ref="AJ37:AK37"/>
    <mergeCell ref="AL37:AN37"/>
    <mergeCell ref="AO37:AY37"/>
    <mergeCell ref="A36:B36"/>
    <mergeCell ref="T36:V36"/>
    <mergeCell ref="W36:X36"/>
    <mergeCell ref="Y36:Z36"/>
    <mergeCell ref="AA36:AB36"/>
    <mergeCell ref="AH36:AI36"/>
    <mergeCell ref="AJ36:AK36"/>
    <mergeCell ref="AL36:AN36"/>
    <mergeCell ref="AO36:AY36"/>
    <mergeCell ref="AJ34:AK34"/>
    <mergeCell ref="AL34:AN34"/>
    <mergeCell ref="AO34:AY34"/>
    <mergeCell ref="A35:B35"/>
    <mergeCell ref="T35:V35"/>
    <mergeCell ref="W35:X35"/>
    <mergeCell ref="Y35:Z35"/>
    <mergeCell ref="AA35:AB35"/>
    <mergeCell ref="AH35:AI35"/>
    <mergeCell ref="AJ35:AK35"/>
    <mergeCell ref="A34:B34"/>
    <mergeCell ref="T34:V34"/>
    <mergeCell ref="W34:X34"/>
    <mergeCell ref="Y34:Z34"/>
    <mergeCell ref="AA34:AB34"/>
    <mergeCell ref="AH34:AI34"/>
    <mergeCell ref="AL35:AN35"/>
    <mergeCell ref="AO35:AY35"/>
    <mergeCell ref="A33:B33"/>
    <mergeCell ref="T33:V33"/>
    <mergeCell ref="W33:X33"/>
    <mergeCell ref="Y33:Z33"/>
    <mergeCell ref="AA33:AB33"/>
    <mergeCell ref="AH33:AI33"/>
    <mergeCell ref="AJ33:AK33"/>
    <mergeCell ref="AL33:AN33"/>
    <mergeCell ref="AO33:AY33"/>
    <mergeCell ref="A32:B32"/>
    <mergeCell ref="T32:V32"/>
    <mergeCell ref="W32:X32"/>
    <mergeCell ref="Y32:Z32"/>
    <mergeCell ref="AA32:AB32"/>
    <mergeCell ref="AH32:AI32"/>
    <mergeCell ref="AJ32:AK32"/>
    <mergeCell ref="AL32:AN32"/>
    <mergeCell ref="AO32:AY32"/>
    <mergeCell ref="AJ30:AK30"/>
    <mergeCell ref="AL30:AN30"/>
    <mergeCell ref="AO30:AY30"/>
    <mergeCell ref="A31:B31"/>
    <mergeCell ref="T31:V31"/>
    <mergeCell ref="W31:X31"/>
    <mergeCell ref="Y31:Z31"/>
    <mergeCell ref="AA31:AB31"/>
    <mergeCell ref="AH31:AI31"/>
    <mergeCell ref="AJ31:AK31"/>
    <mergeCell ref="A30:B30"/>
    <mergeCell ref="T30:V30"/>
    <mergeCell ref="W30:X30"/>
    <mergeCell ref="Y30:Z30"/>
    <mergeCell ref="AA30:AB30"/>
    <mergeCell ref="AH30:AI30"/>
    <mergeCell ref="AL31:AN31"/>
    <mergeCell ref="AO31:AY31"/>
    <mergeCell ref="A29:B29"/>
    <mergeCell ref="T29:V29"/>
    <mergeCell ref="W29:X29"/>
    <mergeCell ref="Y29:Z29"/>
    <mergeCell ref="AA29:AB29"/>
    <mergeCell ref="AH29:AI29"/>
    <mergeCell ref="AJ29:AK29"/>
    <mergeCell ref="AL29:AN29"/>
    <mergeCell ref="AO29:AY29"/>
    <mergeCell ref="A28:B28"/>
    <mergeCell ref="T28:V28"/>
    <mergeCell ref="W28:X28"/>
    <mergeCell ref="Y28:Z28"/>
    <mergeCell ref="AA28:AB28"/>
    <mergeCell ref="AH28:AI28"/>
    <mergeCell ref="AJ28:AK28"/>
    <mergeCell ref="AL28:AN28"/>
    <mergeCell ref="AO28:AY28"/>
    <mergeCell ref="AJ26:AK26"/>
    <mergeCell ref="AL26:AN26"/>
    <mergeCell ref="AO26:AY26"/>
    <mergeCell ref="A27:B27"/>
    <mergeCell ref="T27:V27"/>
    <mergeCell ref="W27:X27"/>
    <mergeCell ref="Y27:Z27"/>
    <mergeCell ref="AA27:AB27"/>
    <mergeCell ref="AH27:AI27"/>
    <mergeCell ref="AJ27:AK27"/>
    <mergeCell ref="A26:B26"/>
    <mergeCell ref="T26:V26"/>
    <mergeCell ref="W26:X26"/>
    <mergeCell ref="Y26:Z26"/>
    <mergeCell ref="AA26:AB26"/>
    <mergeCell ref="AH26:AI26"/>
    <mergeCell ref="AL27:AN27"/>
    <mergeCell ref="AO27:AY27"/>
    <mergeCell ref="A25:B25"/>
    <mergeCell ref="T25:V25"/>
    <mergeCell ref="W25:X25"/>
    <mergeCell ref="Y25:Z25"/>
    <mergeCell ref="AA25:AB25"/>
    <mergeCell ref="AH25:AI25"/>
    <mergeCell ref="AJ25:AK25"/>
    <mergeCell ref="AL25:AN25"/>
    <mergeCell ref="AO25:AY25"/>
    <mergeCell ref="A24:B24"/>
    <mergeCell ref="T24:V24"/>
    <mergeCell ref="W24:X24"/>
    <mergeCell ref="Y24:Z24"/>
    <mergeCell ref="AA24:AB24"/>
    <mergeCell ref="AH24:AI24"/>
    <mergeCell ref="AJ24:AK24"/>
    <mergeCell ref="AL24:AN24"/>
    <mergeCell ref="AO24:AY24"/>
    <mergeCell ref="AJ22:AK22"/>
    <mergeCell ref="AL22:AN22"/>
    <mergeCell ref="AO22:AY22"/>
    <mergeCell ref="A23:B23"/>
    <mergeCell ref="T23:V23"/>
    <mergeCell ref="W23:X23"/>
    <mergeCell ref="Y23:Z23"/>
    <mergeCell ref="AA23:AB23"/>
    <mergeCell ref="AH23:AI23"/>
    <mergeCell ref="AJ23:AK23"/>
    <mergeCell ref="A22:B22"/>
    <mergeCell ref="T22:V22"/>
    <mergeCell ref="W22:X22"/>
    <mergeCell ref="Y22:Z22"/>
    <mergeCell ref="AA22:AB22"/>
    <mergeCell ref="AH22:AI22"/>
    <mergeCell ref="AL23:AN23"/>
    <mergeCell ref="AO23:AY23"/>
    <mergeCell ref="Y21:Z21"/>
    <mergeCell ref="AA21:AB21"/>
    <mergeCell ref="AH21:AI21"/>
    <mergeCell ref="AJ21:AK21"/>
    <mergeCell ref="AL21:AN21"/>
    <mergeCell ref="AO21:AY21"/>
    <mergeCell ref="AA20:AB20"/>
    <mergeCell ref="AH20:AI20"/>
    <mergeCell ref="AJ20:AK20"/>
    <mergeCell ref="AL20:AN20"/>
    <mergeCell ref="AO20:AY20"/>
    <mergeCell ref="Y20:Z20"/>
    <mergeCell ref="A21:B21"/>
    <mergeCell ref="C21:K21"/>
    <mergeCell ref="L21:S21"/>
    <mergeCell ref="T21:V21"/>
    <mergeCell ref="W21:X21"/>
    <mergeCell ref="A20:B20"/>
    <mergeCell ref="C20:K20"/>
    <mergeCell ref="L20:S20"/>
    <mergeCell ref="T20:V20"/>
    <mergeCell ref="W20:X20"/>
    <mergeCell ref="Y19:Z19"/>
    <mergeCell ref="AA19:AB19"/>
    <mergeCell ref="AH19:AI19"/>
    <mergeCell ref="AJ19:AK19"/>
    <mergeCell ref="AL19:AN19"/>
    <mergeCell ref="AO19:AY19"/>
    <mergeCell ref="AA18:AB18"/>
    <mergeCell ref="AH18:AI18"/>
    <mergeCell ref="AJ18:AK18"/>
    <mergeCell ref="AL18:AN18"/>
    <mergeCell ref="AO18:AY18"/>
    <mergeCell ref="Y18:Z18"/>
    <mergeCell ref="A19:B19"/>
    <mergeCell ref="C19:K19"/>
    <mergeCell ref="L19:S19"/>
    <mergeCell ref="T19:V19"/>
    <mergeCell ref="W19:X19"/>
    <mergeCell ref="A18:B18"/>
    <mergeCell ref="C18:K18"/>
    <mergeCell ref="L18:S18"/>
    <mergeCell ref="T18:V18"/>
    <mergeCell ref="W18:X18"/>
    <mergeCell ref="Y17:Z17"/>
    <mergeCell ref="AA17:AB17"/>
    <mergeCell ref="AH17:AI17"/>
    <mergeCell ref="AJ17:AK17"/>
    <mergeCell ref="AL17:AN17"/>
    <mergeCell ref="AO17:AY17"/>
    <mergeCell ref="AA16:AB16"/>
    <mergeCell ref="AH16:AI16"/>
    <mergeCell ref="AJ16:AK16"/>
    <mergeCell ref="AL16:AN16"/>
    <mergeCell ref="AO16:AY16"/>
    <mergeCell ref="Y16:Z16"/>
    <mergeCell ref="A17:B17"/>
    <mergeCell ref="C17:K17"/>
    <mergeCell ref="L17:S17"/>
    <mergeCell ref="T17:V17"/>
    <mergeCell ref="W17:X17"/>
    <mergeCell ref="A16:B16"/>
    <mergeCell ref="C16:K16"/>
    <mergeCell ref="L16:S16"/>
    <mergeCell ref="T16:V16"/>
    <mergeCell ref="W16:X16"/>
    <mergeCell ref="Y15:Z15"/>
    <mergeCell ref="AA15:AB15"/>
    <mergeCell ref="AH15:AI15"/>
    <mergeCell ref="AJ15:AK15"/>
    <mergeCell ref="AL15:AN15"/>
    <mergeCell ref="AO15:AY15"/>
    <mergeCell ref="AA14:AB14"/>
    <mergeCell ref="AH14:AI14"/>
    <mergeCell ref="AJ14:AK14"/>
    <mergeCell ref="AL14:AN14"/>
    <mergeCell ref="AO14:AY14"/>
    <mergeCell ref="Y14:Z14"/>
    <mergeCell ref="A15:B15"/>
    <mergeCell ref="C15:K15"/>
    <mergeCell ref="L15:S15"/>
    <mergeCell ref="T15:V15"/>
    <mergeCell ref="W15:X15"/>
    <mergeCell ref="A14:B14"/>
    <mergeCell ref="C14:K14"/>
    <mergeCell ref="L14:S14"/>
    <mergeCell ref="T14:V14"/>
    <mergeCell ref="W14:X14"/>
    <mergeCell ref="Y13:Z13"/>
    <mergeCell ref="AA13:AB13"/>
    <mergeCell ref="AH13:AI13"/>
    <mergeCell ref="AJ13:AK13"/>
    <mergeCell ref="AL13:AN13"/>
    <mergeCell ref="AO13:AY13"/>
    <mergeCell ref="AA12:AB12"/>
    <mergeCell ref="AH12:AI12"/>
    <mergeCell ref="AJ12:AK12"/>
    <mergeCell ref="AL12:AN12"/>
    <mergeCell ref="AO12:AY12"/>
    <mergeCell ref="Y12:Z12"/>
    <mergeCell ref="A13:B13"/>
    <mergeCell ref="C13:K13"/>
    <mergeCell ref="L13:S13"/>
    <mergeCell ref="T13:V13"/>
    <mergeCell ref="W13:X13"/>
    <mergeCell ref="A12:B12"/>
    <mergeCell ref="C12:K12"/>
    <mergeCell ref="L12:S12"/>
    <mergeCell ref="T12:V12"/>
    <mergeCell ref="W12:X12"/>
    <mergeCell ref="AA10:AB10"/>
    <mergeCell ref="AC10:AG10"/>
    <mergeCell ref="AH10:AI10"/>
    <mergeCell ref="AJ10:AK11"/>
    <mergeCell ref="AL10:AN11"/>
    <mergeCell ref="AO10:AY11"/>
    <mergeCell ref="AA11:AB11"/>
    <mergeCell ref="AH11:AI11"/>
    <mergeCell ref="A10:B11"/>
    <mergeCell ref="C10:K11"/>
    <mergeCell ref="L10:S11"/>
    <mergeCell ref="T10:V11"/>
    <mergeCell ref="W10:X11"/>
    <mergeCell ref="Y10:Z11"/>
    <mergeCell ref="A6:F8"/>
    <mergeCell ref="G6:K6"/>
    <mergeCell ref="L6:AB6"/>
    <mergeCell ref="AC6:AG6"/>
    <mergeCell ref="AH6:AY6"/>
    <mergeCell ref="AX2:AY5"/>
    <mergeCell ref="G3:K3"/>
    <mergeCell ref="AI3:AK3"/>
    <mergeCell ref="AL3:AN3"/>
    <mergeCell ref="AO3:AS3"/>
    <mergeCell ref="AT3:AW3"/>
    <mergeCell ref="G4:K4"/>
    <mergeCell ref="AI4:AK5"/>
    <mergeCell ref="AL4:AN4"/>
    <mergeCell ref="AO4:AS4"/>
    <mergeCell ref="A1:F5"/>
    <mergeCell ref="G7:K7"/>
    <mergeCell ref="L7:AB7"/>
    <mergeCell ref="AC7:AG7"/>
    <mergeCell ref="AH7:AY7"/>
    <mergeCell ref="G8:K8"/>
    <mergeCell ref="L8:AB8"/>
    <mergeCell ref="AC8:AG8"/>
    <mergeCell ref="AH8:AY8"/>
    <mergeCell ref="AO1:AS1"/>
    <mergeCell ref="AT1:AW1"/>
    <mergeCell ref="AX1:AY1"/>
    <mergeCell ref="G2:K2"/>
    <mergeCell ref="AC2:AE5"/>
    <mergeCell ref="AF2:AH5"/>
    <mergeCell ref="AI2:AK2"/>
    <mergeCell ref="AL2:AN2"/>
    <mergeCell ref="AO2:AS2"/>
    <mergeCell ref="AT2:AW2"/>
    <mergeCell ref="G1:K1"/>
    <mergeCell ref="AC1:AE1"/>
    <mergeCell ref="AF1:AH1"/>
    <mergeCell ref="AI1:AK1"/>
    <mergeCell ref="AL1:AN1"/>
    <mergeCell ref="AT4:AW4"/>
    <mergeCell ref="G5:K5"/>
    <mergeCell ref="AL5:AN5"/>
    <mergeCell ref="AO5:AS5"/>
    <mergeCell ref="AT5:AW5"/>
  </mergeCells>
  <phoneticPr fontId="23"/>
  <dataValidations count="1">
    <dataValidation type="list" allowBlank="1" showInputMessage="1" showErrorMessage="1" sqref="T54:V54 T50:T53 T12:V49" xr:uid="{042B88C6-D330-48D6-8A9F-A5520BB742F5}">
      <formula1>型候補</formula1>
    </dataValidation>
  </dataValidations>
  <hyperlinks>
    <hyperlink ref="A1:F5" location="テーブル一覧!A1" display="テーブル一覧!A1" xr:uid="{19E7F62E-101F-4BDE-8A57-D69EDBE6D8AE}"/>
  </hyperlinks>
  <pageMargins left="0.70866141732283472" right="0.70866141732283472" top="0.74803149606299213" bottom="0.74803149606299213" header="0.31496062992125984" footer="0.31496062992125984"/>
  <pageSetup paperSize="9" scale="83" fitToHeight="0" orientation="landscape" horizontalDpi="4294967294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700-000000000000}">
  <sheetPr codeName="Sheet2"/>
  <dimension ref="A1:AL11"/>
  <sheetViews>
    <sheetView view="pageBreakPreview" zoomScale="160" zoomScaleNormal="100" zoomScaleSheetLayoutView="160" workbookViewId="0">
      <selection activeCell="A7" sqref="A7"/>
    </sheetView>
  </sheetViews>
  <sheetFormatPr defaultRowHeight="11.25"/>
  <sheetData>
    <row r="1" spans="1:38">
      <c r="A1" t="s">
        <v>6</v>
      </c>
    </row>
    <row r="2" spans="1:38">
      <c r="A2" t="s">
        <v>7</v>
      </c>
      <c r="AL2" t="s">
        <v>2</v>
      </c>
    </row>
    <row r="3" spans="1:38">
      <c r="A3" t="s">
        <v>106</v>
      </c>
    </row>
    <row r="4" spans="1:38">
      <c r="A4" t="s">
        <v>131</v>
      </c>
    </row>
    <row r="5" spans="1:38">
      <c r="A5" t="s">
        <v>8</v>
      </c>
    </row>
    <row r="6" spans="1:38">
      <c r="A6" t="s">
        <v>9</v>
      </c>
    </row>
    <row r="7" spans="1:38">
      <c r="A7" t="s">
        <v>72</v>
      </c>
    </row>
    <row r="8" spans="1:38">
      <c r="A8" t="s">
        <v>80</v>
      </c>
    </row>
    <row r="9" spans="1:38">
      <c r="A9" t="s">
        <v>88</v>
      </c>
    </row>
    <row r="10" spans="1:38">
      <c r="A10" t="s">
        <v>109</v>
      </c>
    </row>
    <row r="11" spans="1:38">
      <c r="A11" t="s">
        <v>89</v>
      </c>
    </row>
  </sheetData>
  <dataConsolidate>
    <dataRefs count="1">
      <dataRef ref="A2:A4" sheet="マスタ"/>
    </dataRefs>
  </dataConsolidate>
  <customSheetViews>
    <customSheetView guid="{450296EB-871F-4CF4-9810-E1086F54218B}" scale="160" showPageBreaks="1" printArea="1" state="hidden" view="pageBreakPreview">
      <selection activeCell="E7" sqref="E7"/>
      <pageMargins left="0.7" right="0.7" top="0.75" bottom="0.75" header="0.3" footer="0.3"/>
      <pageSetup paperSize="9" orientation="portrait" r:id="rId1"/>
    </customSheetView>
  </customSheetViews>
  <phoneticPr fontId="1"/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ワークシート</vt:lpstr>
      </vt:variant>
      <vt:variant>
        <vt:i4>15</vt:i4>
      </vt:variant>
      <vt:variant>
        <vt:lpstr>名前付き一覧</vt:lpstr>
      </vt:variant>
      <vt:variant>
        <vt:i4>17</vt:i4>
      </vt:variant>
    </vt:vector>
  </HeadingPairs>
  <TitlesOfParts>
    <vt:vector size="32" baseType="lpstr">
      <vt:lpstr>表紙</vt:lpstr>
      <vt:lpstr>テーブル一覧</vt:lpstr>
      <vt:lpstr>m_商品評価単価</vt:lpstr>
      <vt:lpstr>m_Maker</vt:lpstr>
      <vt:lpstr>m_会社</vt:lpstr>
      <vt:lpstr>m_社員</vt:lpstr>
      <vt:lpstr>m_所属部署</vt:lpstr>
      <vt:lpstr>m_商品</vt:lpstr>
      <vt:lpstr>m_商品分類</vt:lpstr>
      <vt:lpstr>m_性別</vt:lpstr>
      <vt:lpstr>m_得意先</vt:lpstr>
      <vt:lpstr>m_役職</vt:lpstr>
      <vt:lpstr>t_売上</vt:lpstr>
      <vt:lpstr>雛形</vt:lpstr>
      <vt:lpstr>マスタ</vt:lpstr>
      <vt:lpstr>m_商品評価単価!Print_Area</vt:lpstr>
      <vt:lpstr>テーブル一覧!Print_Area</vt:lpstr>
      <vt:lpstr>マスタ!Print_Area</vt:lpstr>
      <vt:lpstr>表紙!Print_Area</vt:lpstr>
      <vt:lpstr>m_Maker!Print_Titles</vt:lpstr>
      <vt:lpstr>m_会社!Print_Titles</vt:lpstr>
      <vt:lpstr>m_社員!Print_Titles</vt:lpstr>
      <vt:lpstr>m_所属部署!Print_Titles</vt:lpstr>
      <vt:lpstr>m_商品!Print_Titles</vt:lpstr>
      <vt:lpstr>m_商品分類!Print_Titles</vt:lpstr>
      <vt:lpstr>m_性別!Print_Titles</vt:lpstr>
      <vt:lpstr>m_得意先!Print_Titles</vt:lpstr>
      <vt:lpstr>m_役職!Print_Titles</vt:lpstr>
      <vt:lpstr>t_売上!Print_Titles</vt:lpstr>
      <vt:lpstr>雛形!Print_Titles</vt:lpstr>
      <vt:lpstr>表紙!Print_Titles</vt:lpstr>
      <vt:lpstr>型候補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itemadmin</dc:creator>
  <cp:lastModifiedBy>ibcl177</cp:lastModifiedBy>
  <cp:lastPrinted>2021-03-19T05:49:42Z</cp:lastPrinted>
  <dcterms:created xsi:type="dcterms:W3CDTF">2008-10-20T07:36:25Z</dcterms:created>
  <dcterms:modified xsi:type="dcterms:W3CDTF">2025-11-13T10:38:19Z</dcterms:modified>
</cp:coreProperties>
</file>